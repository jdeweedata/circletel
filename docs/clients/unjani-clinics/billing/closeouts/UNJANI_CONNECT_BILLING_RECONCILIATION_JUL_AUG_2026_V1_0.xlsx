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conciliation" sheetId="2" state="visible" r:id="rId4"/>
    <sheet name="Summary" sheetId="3" state="visible" r:id="rId5"/>
    <sheet name="Exceptions &amp; A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<sst xmlns="http://schemas.openxmlformats.org/spreadsheetml/2006/main" count="396" uniqueCount="266">
  <si>
    <t xml:space="preserve">Unjani Connect — Billing Reconciliation</t>
  </si>
  <si>
    <t xml:space="preserve">Reconciliation of active services to invoices — July &amp; August 2026</t>
  </si>
  <si>
    <t xml:space="preserve">DRAFT — Internal  ·  Prepared for sharing with Unjani Clinics NPC on approval</t>
  </si>
  <si>
    <t xml:space="preserve">Report</t>
  </si>
  <si>
    <t xml:space="preserve">Unjani Connect billing reconciliation — active services vs invoices</t>
  </si>
  <si>
    <t xml:space="preserve">Reconciliation period</t>
  </si>
  <si>
    <t xml:space="preserve">July 2026 and August 2026</t>
  </si>
  <si>
    <t xml:space="preserve">Data as at</t>
  </si>
  <si>
    <t xml:space="preserve">13 August 2026, 17:40 SAST (live corporate_sites + customer_services + customer_invoices)</t>
  </si>
  <si>
    <t xml:space="preserve">Prepared for</t>
  </si>
  <si>
    <t xml:space="preserve">Unjani Clinics NPC (corporate_code UNJ)</t>
  </si>
  <si>
    <t xml:space="preserve">Prepared by</t>
  </si>
  <si>
    <t xml:space="preserve">CircleTel Finance — Billing Operations</t>
  </si>
  <si>
    <t xml:space="preserve">Product</t>
  </si>
  <si>
    <t xml:space="preserve">Unjani Managed Connectivity · SKU UNJ-MC-001 · R450,00 ex / R517,50 incl per site / month</t>
  </si>
  <si>
    <t xml:space="preserve">Reconciliation basis</t>
  </si>
  <si>
    <t xml:space="preserve">• Billable universe</t>
  </si>
  <si>
    <t xml:space="preserve">16 of 21 active clinics are billable for July &amp; August. Five active clinics (Alexandra, Chloorkop, Oukasie, Phoenix, Sicelo) have their first bill on the 1 September NPC pack — their July/August invoices were voided and are shown as 'not yet billable', not as gaps.</t>
  </si>
  <si>
    <t xml:space="preserve">• July charge</t>
  </si>
  <si>
    <t xml:space="preserve">R450,00 per site is treated as the correct July charge (as agreed with the NPC). August onward is R517,50 incl. Seven July invoices carry the R517,50 incl amount — shown as a variance for transparency, no action assumed.</t>
  </si>
  <si>
    <t xml:space="preserve">• August charge</t>
  </si>
  <si>
    <t xml:space="preserve">R517,50 incl per site.</t>
  </si>
  <si>
    <t xml:space="preserve">• Excluded</t>
  </si>
  <si>
    <t xml:space="preserve">Six pending / non-active sites carry no July/August billing: Delmas (two pending services) and Khayelitsha, Mamelodi, Soweto (Diepkloof), Umlazi (no customer / no service).</t>
  </si>
  <si>
    <t xml:space="preserve">• Currency</t>
  </si>
  <si>
    <t xml:space="preserve">All figures excl. VAT where the R450,00 rate is used and incl. VAT where R517,50 is used, per the Unjani Connect price. Rendered in en-ZA format (R1 234,56).</t>
  </si>
  <si>
    <t xml:space="preserve">Headline results (July + August)</t>
  </si>
  <si>
    <t xml:space="preserve">Active clinics reconciled</t>
  </si>
  <si>
    <t xml:space="preserve">21 (16 billable + 5 not yet billable)</t>
  </si>
  <si>
    <t xml:space="preserve">Expected billing (Jul + Aug)</t>
  </si>
  <si>
    <t xml:space="preserve">R15 480,00</t>
  </si>
  <si>
    <t xml:space="preserve">Actually invoiced (Jul + Aug)</t>
  </si>
  <si>
    <t xml:space="preserve">R14 917,50</t>
  </si>
  <si>
    <t xml:space="preserve">Under-billed — 2 missing August invoices</t>
  </si>
  <si>
    <t xml:space="preserve">–R1 035,00  (Cosmo City, Fleurhof)</t>
  </si>
  <si>
    <t xml:space="preserve">July variance — 7 invoices at R517,50 vs R450,00</t>
  </si>
  <si>
    <t xml:space="preserve">+R472,50  (informational)</t>
  </si>
  <si>
    <t xml:space="preserve">Collected on July + August invoices</t>
  </si>
  <si>
    <t xml:space="preserve">R8 392,50</t>
  </si>
  <si>
    <t xml:space="preserve">Outstanding on July + August invoices</t>
  </si>
  <si>
    <t xml:space="preserve">R6 525,00</t>
  </si>
  <si>
    <t xml:space="preserve">June items still open (carry-over)</t>
  </si>
  <si>
    <t xml:space="preserve">R3 381,00</t>
  </si>
  <si>
    <t xml:space="preserve">Total open Unjani AR (ties to closeout)</t>
  </si>
  <si>
    <t xml:space="preserve">R9 906,00</t>
  </si>
  <si>
    <t xml:space="preserve">September NPC pack (forward view)</t>
  </si>
  <si>
    <t xml:space="preserve">21 × R517,50 = R10 867,50</t>
  </si>
  <si>
    <t xml:space="preserve">Version control</t>
  </si>
  <si>
    <t xml:space="preserve">Version</t>
  </si>
  <si>
    <t xml:space="preserve">Date</t>
  </si>
  <si>
    <t xml:space="preserve">Author</t>
  </si>
  <si>
    <t xml:space="preserve">Change</t>
  </si>
  <si>
    <t xml:space="preserve">v1.0</t>
  </si>
  <si>
    <t xml:space="preserve">13/08/2026</t>
  </si>
  <si>
    <t xml:space="preserve">CircleTel Finance</t>
  </si>
  <si>
    <t xml:space="preserve">Initial reconciliation of active services to July &amp; August 2026 invoices.</t>
  </si>
  <si>
    <t xml:space="preserve">Reconciliation — active services vs invoices · July &amp; August 2026</t>
  </si>
  <si>
    <t xml:space="preserve">Clinic</t>
  </si>
  <si>
    <t xml:space="preserve">Province</t>
  </si>
  <si>
    <t xml:space="preserve">Customer account</t>
  </si>
  <si>
    <t xml:space="preserve">Technology</t>
  </si>
  <si>
    <t xml:space="preserve">Billable
Jul–Aug</t>
  </si>
  <si>
    <t xml:space="preserve">Jul
invoice</t>
  </si>
  <si>
    <t xml:space="preserve">Jul invoiced</t>
  </si>
  <si>
    <t xml:space="preserve">Jul expected</t>
  </si>
  <si>
    <t xml:space="preserve">Jul variance</t>
  </si>
  <si>
    <t xml:space="preserve">Jul status</t>
  </si>
  <si>
    <t xml:space="preserve">Aug
invoice</t>
  </si>
  <si>
    <t xml:space="preserve">Aug invoiced</t>
  </si>
  <si>
    <t xml:space="preserve">Aug expected</t>
  </si>
  <si>
    <t xml:space="preserve">Aug variance</t>
  </si>
  <si>
    <t xml:space="preserve">Aug status</t>
  </si>
  <si>
    <t xml:space="preserve">Outstanding
Jul–Aug</t>
  </si>
  <si>
    <t xml:space="preserve">Notes / flags</t>
  </si>
  <si>
    <t xml:space="preserve">Billable in July &amp; August (16 clinics)</t>
  </si>
  <si>
    <t xml:space="preserve">Barcelona</t>
  </si>
  <si>
    <t xml:space="preserve">Gauteng</t>
  </si>
  <si>
    <t xml:space="preserve">CT-2026-00017</t>
  </si>
  <si>
    <t xml:space="preserve">LTE/5G</t>
  </si>
  <si>
    <t xml:space="preserve">Yes</t>
  </si>
  <si>
    <t xml:space="preserve">INV-25</t>
  </si>
  <si>
    <t xml:space="preserve">Paid</t>
  </si>
  <si>
    <t xml:space="preserve">INV-65</t>
  </si>
  <si>
    <t xml:space="preserve">Cosmo City</t>
  </si>
  <si>
    <t xml:space="preserve">CT-2026-00011</t>
  </si>
  <si>
    <t xml:space="preserve">Tarana FWB</t>
  </si>
  <si>
    <t xml:space="preserve">INV-43</t>
  </si>
  <si>
    <t xml:space="preserve">—</t>
  </si>
  <si>
    <t xml:space="preserve">Not billed</t>
  </si>
  <si>
    <t xml:space="preserve">NO AUGUST INVOICE. R276,00 surplus (overpayment) sitting on account.</t>
  </si>
  <si>
    <t xml:space="preserve">Durban</t>
  </si>
  <si>
    <t xml:space="preserve">KwaZulu-Natal</t>
  </si>
  <si>
    <t xml:space="preserve">CT-2026-00039</t>
  </si>
  <si>
    <t xml:space="preserve">INV-74</t>
  </si>
  <si>
    <t xml:space="preserve">Unpaid</t>
  </si>
  <si>
    <t xml:space="preserve">INV-75</t>
  </si>
  <si>
    <t xml:space="preserve">PayNow, no debit-order mandate. Both months open.</t>
  </si>
  <si>
    <t xml:space="preserve">Fleurhof</t>
  </si>
  <si>
    <t xml:space="preserve">CT-2026-00012</t>
  </si>
  <si>
    <t xml:space="preserve">INV-44</t>
  </si>
  <si>
    <t xml:space="preserve">NO AUGUST INVOICE.</t>
  </si>
  <si>
    <t xml:space="preserve">Heidelberg</t>
  </si>
  <si>
    <t xml:space="preserve">CT-2026-00016</t>
  </si>
  <si>
    <t xml:space="preserve">INV-26</t>
  </si>
  <si>
    <t xml:space="preserve">INV-66</t>
  </si>
  <si>
    <t xml:space="preserve">Jabulani</t>
  </si>
  <si>
    <t xml:space="preserve">CT-2026-00019</t>
  </si>
  <si>
    <t xml:space="preserve">INV-30</t>
  </si>
  <si>
    <t xml:space="preserve">INV-63</t>
  </si>
  <si>
    <t xml:space="preserve">Cancellation letter on file; invoices remain open until voided/credited. June back-bill also open.</t>
  </si>
  <si>
    <t xml:space="preserve">Kayamandi</t>
  </si>
  <si>
    <t xml:space="preserve">Western Cape</t>
  </si>
  <si>
    <t xml:space="preserve">CT-2026-00022</t>
  </si>
  <si>
    <t xml:space="preserve">INV-27</t>
  </si>
  <si>
    <t xml:space="preserve">INV-67</t>
  </si>
  <si>
    <t xml:space="preserve">July settled with credit note CN-2026-00002 (R276,00).</t>
  </si>
  <si>
    <t xml:space="preserve">Lens ext 10</t>
  </si>
  <si>
    <t xml:space="preserve">CT-2026-00020</t>
  </si>
  <si>
    <t xml:space="preserve">INV-34</t>
  </si>
  <si>
    <t xml:space="preserve">INV-68</t>
  </si>
  <si>
    <t xml:space="preserve">June back-bill (INV-51) still open.</t>
  </si>
  <si>
    <t xml:space="preserve">New Hanover</t>
  </si>
  <si>
    <t xml:space="preserve">CT-2026-00026</t>
  </si>
  <si>
    <t xml:space="preserve">INV-32</t>
  </si>
  <si>
    <t xml:space="preserve">INV-59</t>
  </si>
  <si>
    <t xml:space="preserve">PayNow. June back-bill also open.</t>
  </si>
  <si>
    <t xml:space="preserve">Nokaneng</t>
  </si>
  <si>
    <t xml:space="preserve">Limpopo</t>
  </si>
  <si>
    <t xml:space="preserve">CT-2026-00021</t>
  </si>
  <si>
    <t xml:space="preserve">INV-42</t>
  </si>
  <si>
    <t xml:space="preserve">INV-61</t>
  </si>
  <si>
    <t xml:space="preserve">July on debit-order batch, action 18 Aug (authorised). June back-bill credited (CN-2026-00003).</t>
  </si>
  <si>
    <t xml:space="preserve">Sky City</t>
  </si>
  <si>
    <t xml:space="preserve">CT-2026-00013</t>
  </si>
  <si>
    <t xml:space="preserve">INV-23</t>
  </si>
  <si>
    <t xml:space="preserve">INV-55</t>
  </si>
  <si>
    <t xml:space="preserve">August open. June back-bill also open.</t>
  </si>
  <si>
    <t xml:space="preserve">Soshanguve (Block P)</t>
  </si>
  <si>
    <t xml:space="preserve">CT-2026-00028</t>
  </si>
  <si>
    <t xml:space="preserve">INV-38</t>
  </si>
  <si>
    <t xml:space="preserve">INV-64</t>
  </si>
  <si>
    <t xml:space="preserve">July open. June pro-rata (INV-37, R276,00) also open.</t>
  </si>
  <si>
    <t xml:space="preserve">Sweetwaters</t>
  </si>
  <si>
    <t xml:space="preserve">CT-2026-00024</t>
  </si>
  <si>
    <t xml:space="preserve">INV-41</t>
  </si>
  <si>
    <t xml:space="preserve">INV-57</t>
  </si>
  <si>
    <t xml:space="preserve">July debit-order mandate never authorised. Data flag: contract_months = 0 (should be 24).</t>
  </si>
  <si>
    <t xml:space="preserve">Tokoza</t>
  </si>
  <si>
    <t xml:space="preserve">CT-2026-00014</t>
  </si>
  <si>
    <t xml:space="preserve">INV-24</t>
  </si>
  <si>
    <t xml:space="preserve">INV-54</t>
  </si>
  <si>
    <t xml:space="preserve">Umsinga</t>
  </si>
  <si>
    <t xml:space="preserve">CT-2026-00027</t>
  </si>
  <si>
    <t xml:space="preserve">INV-33</t>
  </si>
  <si>
    <t xml:space="preserve">INV-60</t>
  </si>
  <si>
    <t xml:space="preserve">Zamdela</t>
  </si>
  <si>
    <t xml:space="preserve">Free State</t>
  </si>
  <si>
    <t xml:space="preserve">CT-2026-00023</t>
  </si>
  <si>
    <t xml:space="preserve">INV-40</t>
  </si>
  <si>
    <t xml:space="preserve">INV-62</t>
  </si>
  <si>
    <t xml:space="preserve">Subtotal — billable (16)</t>
  </si>
  <si>
    <t xml:space="preserve">Active but not yet billable — first bill 1 September NPC pack (5 clinics)</t>
  </si>
  <si>
    <t xml:space="preserve">Alexandra</t>
  </si>
  <si>
    <t xml:space="preserve">CT-2026-00009</t>
  </si>
  <si>
    <t xml:space="preserve">No</t>
  </si>
  <si>
    <t xml:space="preserve">voided</t>
  </si>
  <si>
    <t xml:space="preserve">Active. Billing start already 1 Sep. July invoice voided.</t>
  </si>
  <si>
    <t xml:space="preserve">Chloorkop</t>
  </si>
  <si>
    <t xml:space="preserve">CT-2026-00010</t>
  </si>
  <si>
    <t xml:space="preserve">Oukasie</t>
  </si>
  <si>
    <t xml:space="preserve">North West</t>
  </si>
  <si>
    <t xml:space="preserve">CT-2026-00018</t>
  </si>
  <si>
    <t xml:space="preserve">Active. Moved to 1 Sep NPC pack. July &amp; August invoices voided.</t>
  </si>
  <si>
    <t xml:space="preserve">Phoenix</t>
  </si>
  <si>
    <t xml:space="preserve">CT-2026-00025</t>
  </si>
  <si>
    <t xml:space="preserve">Sicelo</t>
  </si>
  <si>
    <t xml:space="preserve">CT-2026-00015</t>
  </si>
  <si>
    <t xml:space="preserve">TOTAL — all active (21)</t>
  </si>
  <si>
    <t xml:space="preserve">Legend</t>
  </si>
  <si>
    <t xml:space="preserve">• Blue text in Expected columns = business rule input (R450,00 July, R517,50 August).</t>
  </si>
  <si>
    <t xml:space="preserve">• Jul/Aug variance = invoiced − expected. A negative August variance flags a missing invoice.</t>
  </si>
  <si>
    <t xml:space="preserve">• Outstanding Jul–Aug = unpaid balance on the July and August invoices only (June carry-over shown on the Summary sheet).</t>
  </si>
  <si>
    <t xml:space="preserve">• Status: Paid = settled on books · Unpaid = still due · Not billed = no invoice raised.</t>
  </si>
  <si>
    <t xml:space="preserve">Summary — July &amp; August 2026</t>
  </si>
  <si>
    <t xml:space="preserve">A.  Billing accuracy — expected vs invoiced</t>
  </si>
  <si>
    <t xml:space="preserve">Clinics</t>
  </si>
  <si>
    <t xml:space="preserve">Expected</t>
  </si>
  <si>
    <t xml:space="preserve">Invoiced</t>
  </si>
  <si>
    <t xml:space="preserve">Variance</t>
  </si>
  <si>
    <t xml:space="preserve">Note</t>
  </si>
  <si>
    <t xml:space="preserve">July 2026</t>
  </si>
  <si>
    <t xml:space="preserve">7 invoices at R517,50 vs R450,00 rule (+R67,50 each)</t>
  </si>
  <si>
    <t xml:space="preserve">August 2026</t>
  </si>
  <si>
    <t xml:space="preserve">2 missing invoices (Cosmo City, Fleurhof)</t>
  </si>
  <si>
    <t xml:space="preserve">Combined</t>
  </si>
  <si>
    <t xml:space="preserve">Net of July over-statement and 2 missing Aug invoices</t>
  </si>
  <si>
    <t xml:space="preserve">B.  Collections — July &amp; August invoices</t>
  </si>
  <si>
    <t xml:space="preserve">Collected</t>
  </si>
  <si>
    <t xml:space="preserve">Outstanding</t>
  </si>
  <si>
    <t xml:space="preserve">Collection %</t>
  </si>
  <si>
    <t xml:space="preserve">C.  Total open Unjani AR (reconciliation to closeout)</t>
  </si>
  <si>
    <t xml:space="preserve">Component</t>
  </si>
  <si>
    <t xml:space="preserve">Amount</t>
  </si>
  <si>
    <t xml:space="preserve">July invoices outstanding</t>
  </si>
  <si>
    <t xml:space="preserve">August invoices outstanding</t>
  </si>
  <si>
    <t xml:space="preserve">June items still open (carry-over, 7 invoices)</t>
  </si>
  <si>
    <t xml:space="preserve">Total open Unjani AR (ties to closeout R9 906,00)</t>
  </si>
  <si>
    <t xml:space="preserve">D.  June items still open (carry-over)</t>
  </si>
  <si>
    <t xml:space="preserve">Invoice</t>
  </si>
  <si>
    <t xml:space="preserve">Period</t>
  </si>
  <si>
    <t xml:space="preserve">INV-37</t>
  </si>
  <si>
    <t xml:space="preserve">June pro-rata</t>
  </si>
  <si>
    <t xml:space="preserve">INV-45</t>
  </si>
  <si>
    <t xml:space="preserve">June back-bill</t>
  </si>
  <si>
    <t xml:space="preserve">INV-46</t>
  </si>
  <si>
    <t xml:space="preserve">INV-47</t>
  </si>
  <si>
    <t xml:space="preserve">INV-48</t>
  </si>
  <si>
    <t xml:space="preserve">INV-50</t>
  </si>
  <si>
    <t xml:space="preserve">INV-51</t>
  </si>
  <si>
    <t xml:space="preserve">Total June carry-over</t>
  </si>
  <si>
    <t xml:space="preserve">Exceptions &amp; recommended actions</t>
  </si>
  <si>
    <t xml:space="preserve">#</t>
  </si>
  <si>
    <t xml:space="preserve">Item</t>
  </si>
  <si>
    <t xml:space="preserve">Clinic(s) / ref</t>
  </si>
  <si>
    <t xml:space="preserve">Detail</t>
  </si>
  <si>
    <t xml:space="preserve">Value</t>
  </si>
  <si>
    <t xml:space="preserve">1</t>
  </si>
  <si>
    <t xml:space="preserve">Missing August invoice</t>
  </si>
  <si>
    <t xml:space="preserve">Cosmo City (CT-2026-00011), Fleurhof (CT-2026-00012)</t>
  </si>
  <si>
    <t xml:space="preserve">Active all month but no August invoice raised. Raise August invoices at R517,50 each. Cosmo has an existing R276,00 surplus that can offset.</t>
  </si>
  <si>
    <t xml:space="preserve">R1 035,00</t>
  </si>
  <si>
    <t xml:space="preserve">2</t>
  </si>
  <si>
    <t xml:space="preserve">Debit-order mandate never authorised</t>
  </si>
  <si>
    <t xml:space="preserve">Sweetwaters (CT-2026-00024)</t>
  </si>
  <si>
    <t xml:space="preserve">July invoice (INV-41) sits unpaid because the debit-order mandate was never authorised. Secure mandate or move to PayNow.</t>
  </si>
  <si>
    <t xml:space="preserve">R517,50</t>
  </si>
  <si>
    <t xml:space="preserve">3</t>
  </si>
  <si>
    <t xml:space="preserve">Debit-order action pending</t>
  </si>
  <si>
    <t xml:space="preserve">Nokaneng (CT-2026-00021)</t>
  </si>
  <si>
    <t xml:space="preserve">July invoice (INV-42) on authorised debit-order batch, action date 18 August. Confirm collection settles.</t>
  </si>
  <si>
    <t xml:space="preserve">4</t>
  </si>
  <si>
    <t xml:space="preserve">PayNow clinics — no debit mandate</t>
  </si>
  <si>
    <t xml:space="preserve">Durban, Jabulani, New Hanover, Sky City, Soshanguve, Tokoza, Umsinga</t>
  </si>
  <si>
    <t xml:space="preserve">July and/or August invoices unpaid on PayNow. Follow up for payment or convert to debit order.</t>
  </si>
  <si>
    <t xml:space="preserve">R5 490,00</t>
  </si>
  <si>
    <t xml:space="preserve">5</t>
  </si>
  <si>
    <t xml:space="preserve">July pricing variance (informational)</t>
  </si>
  <si>
    <t xml:space="preserve">Cosmo City, Durban, Fleurhof, Nokaneng, Soshanguve, Sweetwaters, Zamdela</t>
  </si>
  <si>
    <t xml:space="preserve">7 July invoices carry R517,50 incl instead of the R450,00 July rule (+R67,50 each). Confirm whether July should be normalised to R450,00.</t>
  </si>
  <si>
    <t xml:space="preserve">+R472,50</t>
  </si>
  <si>
    <t xml:space="preserve">6</t>
  </si>
  <si>
    <t xml:space="preserve">Cancellation letter on file</t>
  </si>
  <si>
    <t xml:space="preserve">Jabulani (CT-2026-00019)</t>
  </si>
  <si>
    <t xml:space="preserve">Cancellation letter received; invoices remain open in AR until formally voided or credited. Confirm intended treatment.</t>
  </si>
  <si>
    <t xml:space="preserve">R967,50 + Jun</t>
  </si>
  <si>
    <t xml:space="preserve">7</t>
  </si>
  <si>
    <t xml:space="preserve">June items still open</t>
  </si>
  <si>
    <t xml:space="preserve">7 clinics (see Summary D)</t>
  </si>
  <si>
    <t xml:space="preserve">June back-bill and pro-rata invoices still outstanding, forming part of total open AR.</t>
  </si>
  <si>
    <t xml:space="preserve">8</t>
  </si>
  <si>
    <t xml:space="preserve">Data flag — contract term</t>
  </si>
  <si>
    <t xml:space="preserve">contract_months = 0 in the register; should be 24. Correct master data.</t>
  </si>
  <si>
    <t xml:space="preserve">9</t>
  </si>
  <si>
    <t xml:space="preserve">Data flag — registered name</t>
  </si>
  <si>
    <t xml:space="preserve">Cosmo City, Fleurhof</t>
  </si>
  <si>
    <t xml:space="preserve">Registered business name differs from site name. Verify billing entity for invoicing.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</si>
</sst>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 &quot;#,##0.00"/>
    <numFmt numFmtId="166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B42318"/>
      <name val="Arial"/>
      <family val="0"/>
      <charset val="1"/>
    </font>
    <font>
      <b val="true"/>
      <sz val="10"/>
      <color rgb="FF425066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425066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E7B34"/>
      <name val="Arial"/>
      <family val="0"/>
      <charset val="1"/>
    </font>
    <font>
      <b val="true"/>
      <sz val="9"/>
      <color rgb="FFB7791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8"/>
      <color rgb="FF425066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425066"/>
      </patternFill>
    </fill>
    <fill>
      <patternFill patternType="solid">
        <fgColor rgb="FF2E6E7E"/>
        <bgColor rgb="FF425066"/>
      </patternFill>
    </fill>
    <fill>
      <patternFill patternType="solid">
        <fgColor rgb="FFE4E8EE"/>
        <bgColor rgb="FFF2F4F7"/>
      </patternFill>
    </fill>
    <fill>
      <patternFill patternType="solid">
        <fgColor rgb="FFB7791F"/>
        <bgColor rgb="FFFF6600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DD6"/>
      </left>
      <right style="thin">
        <color rgb="FFC7CDD6"/>
      </right>
      <top style="thin">
        <color rgb="FFC7CDD6"/>
      </top>
      <bottom style="thin">
        <color rgb="FFC7C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7791F"/>
      <rgbColor rgb="FF800080"/>
      <rgbColor rgb="FF2E6E7E"/>
      <rgbColor rgb="FFC7CDD6"/>
      <rgbColor rgb="FF808080"/>
      <rgbColor rgb="FF9999FF"/>
      <rgbColor rgb="FF993366"/>
      <rgbColor rgb="FFF2F4F7"/>
      <rgbColor rgb="FFE4E8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B42318"/>
      <rgbColor rgb="FF993366"/>
      <rgbColor rgb="FF42506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8"/>
    <col collapsed="false" customWidth="true" hidden="false" outlineLevel="0" max="3" min="3" style="1" width="26"/>
    <col collapsed="false" customWidth="true" hidden="false" outlineLevel="0" max="4" min="4" style="1" width="40"/>
  </cols>
  <sheetData>
    <row r="1" customFormat="false" ht="33.75" hidden="false" customHeight="true" outlineLevel="0" collapsed="false">
      <c r="A1" s="2" t="s">
        <v>0</v>
      </c>
      <c r="B1" s="2"/>
    </row>
    <row r="2" customFormat="false" ht="21.75" hidden="false" customHeight="true" outlineLevel="0" collapsed="false">
      <c r="A2" s="3" t="s">
        <v>1</v>
      </c>
      <c r="B2" s="3"/>
    </row>
    <row r="3" customFormat="false" ht="15" hidden="false" customHeight="true" outlineLevel="0" collapsed="false">
      <c r="A3" s="4" t="s">
        <v>2</v>
      </c>
      <c r="B3" s="4"/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6" t="s">
        <v>6</v>
      </c>
    </row>
    <row r="7" customFormat="false" ht="15" hidden="false" customHeight="true" outlineLevel="0" collapsed="false">
      <c r="A7" s="5" t="s">
        <v>7</v>
      </c>
      <c r="B7" s="6" t="s">
        <v>8</v>
      </c>
    </row>
    <row r="8" customFormat="false" ht="15" hidden="false" customHeight="true" outlineLevel="0" collapsed="false">
      <c r="A8" s="5" t="s">
        <v>9</v>
      </c>
      <c r="B8" s="6" t="s">
        <v>10</v>
      </c>
    </row>
    <row r="9" customFormat="false" ht="15" hidden="false" customHeight="true" outlineLevel="0" collapsed="false">
      <c r="A9" s="5" t="s">
        <v>11</v>
      </c>
      <c r="B9" s="6" t="s">
        <v>12</v>
      </c>
    </row>
    <row r="10" customFormat="false" ht="15" hidden="false" customHeight="true" outlineLevel="0" collapsed="false">
      <c r="A10" s="5" t="s">
        <v>13</v>
      </c>
      <c r="B10" s="6" t="s">
        <v>14</v>
      </c>
    </row>
    <row r="12" customFormat="false" ht="15" hidden="false" customHeight="true" outlineLevel="0" collapsed="false">
      <c r="A12" s="7" t="s">
        <v>15</v>
      </c>
    </row>
    <row r="13" customFormat="false" ht="42" hidden="false" customHeight="true" outlineLevel="0" collapsed="false">
      <c r="A13" s="5" t="s">
        <v>16</v>
      </c>
      <c r="B13" s="6" t="s">
        <v>17</v>
      </c>
    </row>
    <row r="14" customFormat="false" ht="42" hidden="false" customHeight="true" outlineLevel="0" collapsed="false">
      <c r="A14" s="5" t="s">
        <v>18</v>
      </c>
      <c r="B14" s="6" t="s">
        <v>19</v>
      </c>
    </row>
    <row r="15" customFormat="false" ht="42" hidden="false" customHeight="true" outlineLevel="0" collapsed="false">
      <c r="A15" s="5" t="s">
        <v>20</v>
      </c>
      <c r="B15" s="6" t="s">
        <v>21</v>
      </c>
    </row>
    <row r="16" customFormat="false" ht="42" hidden="false" customHeight="true" outlineLevel="0" collapsed="false">
      <c r="A16" s="5" t="s">
        <v>22</v>
      </c>
      <c r="B16" s="6" t="s">
        <v>23</v>
      </c>
    </row>
    <row r="17" customFormat="false" ht="42" hidden="false" customHeight="true" outlineLevel="0" collapsed="false">
      <c r="A17" s="5" t="s">
        <v>24</v>
      </c>
      <c r="B17" s="6" t="s">
        <v>25</v>
      </c>
    </row>
    <row r="19" customFormat="false" ht="15" hidden="false" customHeight="true" outlineLevel="0" collapsed="false">
      <c r="A19" s="7" t="s">
        <v>26</v>
      </c>
    </row>
    <row r="20" customFormat="false" ht="15" hidden="false" customHeight="true" outlineLevel="0" collapsed="false">
      <c r="A20" s="8" t="s">
        <v>27</v>
      </c>
      <c r="B20" s="9" t="s">
        <v>28</v>
      </c>
    </row>
    <row r="21" customFormat="false" ht="15" hidden="false" customHeight="true" outlineLevel="0" collapsed="false">
      <c r="A21" s="8" t="s">
        <v>29</v>
      </c>
      <c r="B21" s="9" t="s">
        <v>30</v>
      </c>
    </row>
    <row r="22" customFormat="false" ht="15" hidden="false" customHeight="true" outlineLevel="0" collapsed="false">
      <c r="A22" s="8" t="s">
        <v>31</v>
      </c>
      <c r="B22" s="9" t="s">
        <v>32</v>
      </c>
    </row>
    <row r="23" customFormat="false" ht="15" hidden="false" customHeight="true" outlineLevel="0" collapsed="false">
      <c r="A23" s="8" t="s">
        <v>33</v>
      </c>
      <c r="B23" s="9" t="s">
        <v>34</v>
      </c>
    </row>
    <row r="24" customFormat="false" ht="23.25" hidden="false" customHeight="true" outlineLevel="0" collapsed="false">
      <c r="A24" s="8" t="s">
        <v>35</v>
      </c>
      <c r="B24" s="9" t="s">
        <v>36</v>
      </c>
    </row>
    <row r="25" customFormat="false" ht="15" hidden="false" customHeight="true" outlineLevel="0" collapsed="false">
      <c r="A25" s="8" t="s">
        <v>37</v>
      </c>
      <c r="B25" s="9" t="s">
        <v>38</v>
      </c>
    </row>
    <row r="26" customFormat="false" ht="15" hidden="false" customHeight="true" outlineLevel="0" collapsed="false">
      <c r="A26" s="8" t="s">
        <v>39</v>
      </c>
      <c r="B26" s="9" t="s">
        <v>40</v>
      </c>
    </row>
    <row r="27" customFormat="false" ht="15" hidden="false" customHeight="true" outlineLevel="0" collapsed="false">
      <c r="A27" s="8" t="s">
        <v>41</v>
      </c>
      <c r="B27" s="9" t="s">
        <v>42</v>
      </c>
    </row>
    <row r="28" customFormat="false" ht="15" hidden="false" customHeight="true" outlineLevel="0" collapsed="false">
      <c r="A28" s="8" t="s">
        <v>43</v>
      </c>
      <c r="B28" s="9" t="s">
        <v>44</v>
      </c>
    </row>
    <row r="29" customFormat="false" ht="15" hidden="false" customHeight="true" outlineLevel="0" collapsed="false">
      <c r="A29" s="8" t="s">
        <v>45</v>
      </c>
      <c r="B29" s="9" t="s">
        <v>46</v>
      </c>
    </row>
    <row r="31" customFormat="false" ht="15" hidden="false" customHeight="true" outlineLevel="0" collapsed="false">
      <c r="A31" s="7" t="s">
        <v>47</v>
      </c>
    </row>
    <row r="32" customFormat="false" ht="15" hidden="false" customHeight="true" outlineLevel="0" collapsed="false">
      <c r="A32" s="10" t="s">
        <v>48</v>
      </c>
      <c r="B32" s="10" t="s">
        <v>49</v>
      </c>
      <c r="C32" s="10" t="s">
        <v>50</v>
      </c>
      <c r="D32" s="10" t="s">
        <v>51</v>
      </c>
    </row>
    <row r="33" customFormat="false" ht="21.75" hidden="false" customHeight="true" outlineLevel="0" collapsed="false">
      <c r="A33" s="11" t="s">
        <v>52</v>
      </c>
      <c r="B33" s="11" t="s">
        <v>53</v>
      </c>
      <c r="C33" s="11" t="s">
        <v>54</v>
      </c>
      <c r="D33" s="11" t="s">
        <v>55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6" min="5" style="1" width="9"/>
    <col collapsed="false" customWidth="true" hidden="false" outlineLevel="0" max="9" min="7" style="1" width="12"/>
    <col collapsed="false" customWidth="true" hidden="false" outlineLevel="0" max="10" min="10" style="1" width="10"/>
    <col collapsed="false" customWidth="true" hidden="false" outlineLevel="0" max="11" min="11" style="1" width="9"/>
    <col collapsed="false" customWidth="true" hidden="false" outlineLevel="0" max="14" min="12" style="1" width="12"/>
    <col collapsed="false" customWidth="true" hidden="false" outlineLevel="0" max="15" min="15" style="1" width="10"/>
    <col collapsed="false" customWidth="true" hidden="false" outlineLevel="0" max="16" min="16" style="1" width="13"/>
    <col collapsed="false" customWidth="true" hidden="false" outlineLevel="0" max="17" min="17" style="1" width="54"/>
  </cols>
  <sheetData>
    <row r="1" customFormat="false" ht="25.5" hidden="false" customHeight="true" outlineLevel="0" collapsed="false">
      <c r="A1" s="12" t="s">
        <v>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customFormat="false" ht="30" hidden="false" customHeight="true" outlineLevel="0" collapsed="false">
      <c r="A3" s="13" t="s">
        <v>57</v>
      </c>
      <c r="B3" s="13" t="s">
        <v>58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63</v>
      </c>
      <c r="H3" s="13" t="s">
        <v>64</v>
      </c>
      <c r="I3" s="13" t="s">
        <v>65</v>
      </c>
      <c r="J3" s="13" t="s">
        <v>66</v>
      </c>
      <c r="K3" s="13" t="s">
        <v>67</v>
      </c>
      <c r="L3" s="13" t="s">
        <v>68</v>
      </c>
      <c r="M3" s="13" t="s">
        <v>69</v>
      </c>
      <c r="N3" s="13" t="s">
        <v>70</v>
      </c>
      <c r="O3" s="13" t="s">
        <v>71</v>
      </c>
      <c r="P3" s="13" t="s">
        <v>72</v>
      </c>
      <c r="Q3" s="13" t="s">
        <v>73</v>
      </c>
    </row>
    <row r="4" customFormat="false" ht="15" hidden="false" customHeight="true" outlineLevel="0" collapsed="false">
      <c r="A4" s="14" t="s">
        <v>74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customFormat="false" ht="15" hidden="false" customHeight="true" outlineLevel="0" collapsed="false">
      <c r="A5" s="15" t="s">
        <v>75</v>
      </c>
      <c r="B5" s="15" t="s">
        <v>76</v>
      </c>
      <c r="C5" s="15" t="s">
        <v>77</v>
      </c>
      <c r="D5" s="15" t="s">
        <v>78</v>
      </c>
      <c r="E5" s="16" t="s">
        <v>79</v>
      </c>
      <c r="F5" s="16" t="s">
        <v>80</v>
      </c>
      <c r="G5" s="17" t="n">
        <v>450</v>
      </c>
      <c r="H5" s="18" t="n">
        <v>450</v>
      </c>
      <c r="I5" s="17" t="n">
        <f aca="false">G5-H5</f>
        <v>0</v>
      </c>
      <c r="J5" s="19" t="s">
        <v>81</v>
      </c>
      <c r="K5" s="16" t="s">
        <v>82</v>
      </c>
      <c r="L5" s="17" t="n">
        <v>517.5</v>
      </c>
      <c r="M5" s="18" t="n">
        <v>517.5</v>
      </c>
      <c r="N5" s="17" t="n">
        <f aca="false">L5-M5</f>
        <v>0</v>
      </c>
      <c r="O5" s="19" t="s">
        <v>81</v>
      </c>
      <c r="P5" s="17" t="n">
        <v>0</v>
      </c>
      <c r="Q5" s="11"/>
    </row>
    <row r="6" customFormat="false" ht="21.75" hidden="false" customHeight="true" outlineLevel="0" collapsed="false">
      <c r="A6" s="15" t="s">
        <v>83</v>
      </c>
      <c r="B6" s="15" t="s">
        <v>76</v>
      </c>
      <c r="C6" s="15" t="s">
        <v>84</v>
      </c>
      <c r="D6" s="15" t="s">
        <v>85</v>
      </c>
      <c r="E6" s="16" t="s">
        <v>79</v>
      </c>
      <c r="F6" s="16" t="s">
        <v>86</v>
      </c>
      <c r="G6" s="17" t="n">
        <v>517.5</v>
      </c>
      <c r="H6" s="18" t="n">
        <v>450</v>
      </c>
      <c r="I6" s="17" t="n">
        <f aca="false">G6-H6</f>
        <v>67.5</v>
      </c>
      <c r="J6" s="19" t="s">
        <v>81</v>
      </c>
      <c r="K6" s="16" t="s">
        <v>87</v>
      </c>
      <c r="L6" s="17" t="n">
        <v>0</v>
      </c>
      <c r="M6" s="18" t="n">
        <v>517.5</v>
      </c>
      <c r="N6" s="20" t="n">
        <f aca="false">L6-M6</f>
        <v>-517.5</v>
      </c>
      <c r="O6" s="21" t="s">
        <v>88</v>
      </c>
      <c r="P6" s="17" t="n">
        <v>0</v>
      </c>
      <c r="Q6" s="11" t="s">
        <v>89</v>
      </c>
    </row>
    <row r="7" customFormat="false" ht="15" hidden="false" customHeight="true" outlineLevel="0" collapsed="false">
      <c r="A7" s="15" t="s">
        <v>90</v>
      </c>
      <c r="B7" s="15" t="s">
        <v>91</v>
      </c>
      <c r="C7" s="15" t="s">
        <v>92</v>
      </c>
      <c r="D7" s="15" t="s">
        <v>78</v>
      </c>
      <c r="E7" s="16" t="s">
        <v>79</v>
      </c>
      <c r="F7" s="16" t="s">
        <v>93</v>
      </c>
      <c r="G7" s="17" t="n">
        <v>517.5</v>
      </c>
      <c r="H7" s="18" t="n">
        <v>450</v>
      </c>
      <c r="I7" s="17" t="n">
        <f aca="false">G7-H7</f>
        <v>67.5</v>
      </c>
      <c r="J7" s="22" t="s">
        <v>94</v>
      </c>
      <c r="K7" s="16" t="s">
        <v>95</v>
      </c>
      <c r="L7" s="17" t="n">
        <v>517.5</v>
      </c>
      <c r="M7" s="18" t="n">
        <v>517.5</v>
      </c>
      <c r="N7" s="17" t="n">
        <f aca="false">L7-M7</f>
        <v>0</v>
      </c>
      <c r="O7" s="22" t="s">
        <v>94</v>
      </c>
      <c r="P7" s="17" t="n">
        <v>1035</v>
      </c>
      <c r="Q7" s="11" t="s">
        <v>96</v>
      </c>
    </row>
    <row r="8" customFormat="false" ht="15" hidden="false" customHeight="true" outlineLevel="0" collapsed="false">
      <c r="A8" s="15" t="s">
        <v>97</v>
      </c>
      <c r="B8" s="15" t="s">
        <v>76</v>
      </c>
      <c r="C8" s="15" t="s">
        <v>98</v>
      </c>
      <c r="D8" s="15" t="s">
        <v>85</v>
      </c>
      <c r="E8" s="16" t="s">
        <v>79</v>
      </c>
      <c r="F8" s="16" t="s">
        <v>99</v>
      </c>
      <c r="G8" s="17" t="n">
        <v>517.5</v>
      </c>
      <c r="H8" s="18" t="n">
        <v>450</v>
      </c>
      <c r="I8" s="17" t="n">
        <f aca="false">G8-H8</f>
        <v>67.5</v>
      </c>
      <c r="J8" s="19" t="s">
        <v>81</v>
      </c>
      <c r="K8" s="16" t="s">
        <v>87</v>
      </c>
      <c r="L8" s="17" t="n">
        <v>0</v>
      </c>
      <c r="M8" s="18" t="n">
        <v>517.5</v>
      </c>
      <c r="N8" s="20" t="n">
        <f aca="false">L8-M8</f>
        <v>-517.5</v>
      </c>
      <c r="O8" s="21" t="s">
        <v>88</v>
      </c>
      <c r="P8" s="17" t="n">
        <v>0</v>
      </c>
      <c r="Q8" s="11" t="s">
        <v>100</v>
      </c>
    </row>
    <row r="9" customFormat="false" ht="15" hidden="false" customHeight="true" outlineLevel="0" collapsed="false">
      <c r="A9" s="15" t="s">
        <v>101</v>
      </c>
      <c r="B9" s="15" t="s">
        <v>76</v>
      </c>
      <c r="C9" s="15" t="s">
        <v>102</v>
      </c>
      <c r="D9" s="15" t="s">
        <v>85</v>
      </c>
      <c r="E9" s="16" t="s">
        <v>79</v>
      </c>
      <c r="F9" s="16" t="s">
        <v>103</v>
      </c>
      <c r="G9" s="17" t="n">
        <v>450</v>
      </c>
      <c r="H9" s="18" t="n">
        <v>450</v>
      </c>
      <c r="I9" s="17" t="n">
        <f aca="false">G9-H9</f>
        <v>0</v>
      </c>
      <c r="J9" s="19" t="s">
        <v>81</v>
      </c>
      <c r="K9" s="16" t="s">
        <v>104</v>
      </c>
      <c r="L9" s="17" t="n">
        <v>517.5</v>
      </c>
      <c r="M9" s="18" t="n">
        <v>517.5</v>
      </c>
      <c r="N9" s="17" t="n">
        <f aca="false">L9-M9</f>
        <v>0</v>
      </c>
      <c r="O9" s="19" t="s">
        <v>81</v>
      </c>
      <c r="P9" s="17" t="n">
        <v>0</v>
      </c>
      <c r="Q9" s="11"/>
    </row>
    <row r="10" customFormat="false" ht="21.75" hidden="false" customHeight="true" outlineLevel="0" collapsed="false">
      <c r="A10" s="15" t="s">
        <v>105</v>
      </c>
      <c r="B10" s="15" t="s">
        <v>76</v>
      </c>
      <c r="C10" s="15" t="s">
        <v>106</v>
      </c>
      <c r="D10" s="15" t="s">
        <v>78</v>
      </c>
      <c r="E10" s="16" t="s">
        <v>79</v>
      </c>
      <c r="F10" s="16" t="s">
        <v>107</v>
      </c>
      <c r="G10" s="17" t="n">
        <v>450</v>
      </c>
      <c r="H10" s="18" t="n">
        <v>450</v>
      </c>
      <c r="I10" s="17" t="n">
        <f aca="false">G10-H10</f>
        <v>0</v>
      </c>
      <c r="J10" s="22" t="s">
        <v>94</v>
      </c>
      <c r="K10" s="16" t="s">
        <v>108</v>
      </c>
      <c r="L10" s="17" t="n">
        <v>517.5</v>
      </c>
      <c r="M10" s="18" t="n">
        <v>517.5</v>
      </c>
      <c r="N10" s="17" t="n">
        <f aca="false">L10-M10</f>
        <v>0</v>
      </c>
      <c r="O10" s="22" t="s">
        <v>94</v>
      </c>
      <c r="P10" s="17" t="n">
        <v>967.5</v>
      </c>
      <c r="Q10" s="11" t="s">
        <v>109</v>
      </c>
    </row>
    <row r="11" customFormat="false" ht="15" hidden="false" customHeight="true" outlineLevel="0" collapsed="false">
      <c r="A11" s="15" t="s">
        <v>110</v>
      </c>
      <c r="B11" s="15" t="s">
        <v>111</v>
      </c>
      <c r="C11" s="15" t="s">
        <v>112</v>
      </c>
      <c r="D11" s="15" t="s">
        <v>78</v>
      </c>
      <c r="E11" s="16" t="s">
        <v>79</v>
      </c>
      <c r="F11" s="16" t="s">
        <v>113</v>
      </c>
      <c r="G11" s="17" t="n">
        <v>450</v>
      </c>
      <c r="H11" s="18" t="n">
        <v>450</v>
      </c>
      <c r="I11" s="17" t="n">
        <f aca="false">G11-H11</f>
        <v>0</v>
      </c>
      <c r="J11" s="19" t="s">
        <v>81</v>
      </c>
      <c r="K11" s="16" t="s">
        <v>114</v>
      </c>
      <c r="L11" s="17" t="n">
        <v>517.5</v>
      </c>
      <c r="M11" s="18" t="n">
        <v>517.5</v>
      </c>
      <c r="N11" s="17" t="n">
        <f aca="false">L11-M11</f>
        <v>0</v>
      </c>
      <c r="O11" s="19" t="s">
        <v>81</v>
      </c>
      <c r="P11" s="17" t="n">
        <v>0</v>
      </c>
      <c r="Q11" s="11" t="s">
        <v>115</v>
      </c>
    </row>
    <row r="12" customFormat="false" ht="15" hidden="false" customHeight="true" outlineLevel="0" collapsed="false">
      <c r="A12" s="15" t="s">
        <v>116</v>
      </c>
      <c r="B12" s="15" t="s">
        <v>76</v>
      </c>
      <c r="C12" s="15" t="s">
        <v>117</v>
      </c>
      <c r="D12" s="15" t="s">
        <v>85</v>
      </c>
      <c r="E12" s="16" t="s">
        <v>79</v>
      </c>
      <c r="F12" s="16" t="s">
        <v>118</v>
      </c>
      <c r="G12" s="17" t="n">
        <v>450</v>
      </c>
      <c r="H12" s="18" t="n">
        <v>450</v>
      </c>
      <c r="I12" s="17" t="n">
        <f aca="false">G12-H12</f>
        <v>0</v>
      </c>
      <c r="J12" s="19" t="s">
        <v>81</v>
      </c>
      <c r="K12" s="16" t="s">
        <v>119</v>
      </c>
      <c r="L12" s="17" t="n">
        <v>517.5</v>
      </c>
      <c r="M12" s="18" t="n">
        <v>517.5</v>
      </c>
      <c r="N12" s="17" t="n">
        <f aca="false">L12-M12</f>
        <v>0</v>
      </c>
      <c r="O12" s="19" t="s">
        <v>81</v>
      </c>
      <c r="P12" s="17" t="n">
        <v>0</v>
      </c>
      <c r="Q12" s="11" t="s">
        <v>120</v>
      </c>
    </row>
    <row r="13" customFormat="false" ht="15" hidden="false" customHeight="true" outlineLevel="0" collapsed="false">
      <c r="A13" s="15" t="s">
        <v>121</v>
      </c>
      <c r="B13" s="15" t="s">
        <v>91</v>
      </c>
      <c r="C13" s="15" t="s">
        <v>122</v>
      </c>
      <c r="D13" s="15" t="s">
        <v>78</v>
      </c>
      <c r="E13" s="16" t="s">
        <v>79</v>
      </c>
      <c r="F13" s="16" t="s">
        <v>123</v>
      </c>
      <c r="G13" s="17" t="n">
        <v>450</v>
      </c>
      <c r="H13" s="18" t="n">
        <v>450</v>
      </c>
      <c r="I13" s="17" t="n">
        <f aca="false">G13-H13</f>
        <v>0</v>
      </c>
      <c r="J13" s="22" t="s">
        <v>94</v>
      </c>
      <c r="K13" s="16" t="s">
        <v>124</v>
      </c>
      <c r="L13" s="17" t="n">
        <v>517.5</v>
      </c>
      <c r="M13" s="18" t="n">
        <v>517.5</v>
      </c>
      <c r="N13" s="17" t="n">
        <f aca="false">L13-M13</f>
        <v>0</v>
      </c>
      <c r="O13" s="22" t="s">
        <v>94</v>
      </c>
      <c r="P13" s="17" t="n">
        <v>967.5</v>
      </c>
      <c r="Q13" s="11" t="s">
        <v>125</v>
      </c>
    </row>
    <row r="14" customFormat="false" ht="21.75" hidden="false" customHeight="true" outlineLevel="0" collapsed="false">
      <c r="A14" s="15" t="s">
        <v>126</v>
      </c>
      <c r="B14" s="15" t="s">
        <v>127</v>
      </c>
      <c r="C14" s="15" t="s">
        <v>128</v>
      </c>
      <c r="D14" s="15" t="s">
        <v>78</v>
      </c>
      <c r="E14" s="16" t="s">
        <v>79</v>
      </c>
      <c r="F14" s="16" t="s">
        <v>129</v>
      </c>
      <c r="G14" s="17" t="n">
        <v>517.5</v>
      </c>
      <c r="H14" s="18" t="n">
        <v>450</v>
      </c>
      <c r="I14" s="17" t="n">
        <f aca="false">G14-H14</f>
        <v>67.5</v>
      </c>
      <c r="J14" s="22" t="s">
        <v>94</v>
      </c>
      <c r="K14" s="16" t="s">
        <v>130</v>
      </c>
      <c r="L14" s="17" t="n">
        <v>517.5</v>
      </c>
      <c r="M14" s="18" t="n">
        <v>517.5</v>
      </c>
      <c r="N14" s="17" t="n">
        <f aca="false">L14-M14</f>
        <v>0</v>
      </c>
      <c r="O14" s="19" t="s">
        <v>81</v>
      </c>
      <c r="P14" s="17" t="n">
        <v>517.5</v>
      </c>
      <c r="Q14" s="11" t="s">
        <v>131</v>
      </c>
    </row>
    <row r="15" customFormat="false" ht="15" hidden="false" customHeight="true" outlineLevel="0" collapsed="false">
      <c r="A15" s="15" t="s">
        <v>132</v>
      </c>
      <c r="B15" s="15" t="s">
        <v>76</v>
      </c>
      <c r="C15" s="15" t="s">
        <v>133</v>
      </c>
      <c r="D15" s="15" t="s">
        <v>85</v>
      </c>
      <c r="E15" s="16" t="s">
        <v>79</v>
      </c>
      <c r="F15" s="16" t="s">
        <v>134</v>
      </c>
      <c r="G15" s="17" t="n">
        <v>450</v>
      </c>
      <c r="H15" s="18" t="n">
        <v>450</v>
      </c>
      <c r="I15" s="17" t="n">
        <f aca="false">G15-H15</f>
        <v>0</v>
      </c>
      <c r="J15" s="19" t="s">
        <v>81</v>
      </c>
      <c r="K15" s="16" t="s">
        <v>135</v>
      </c>
      <c r="L15" s="17" t="n">
        <v>517.5</v>
      </c>
      <c r="M15" s="18" t="n">
        <v>517.5</v>
      </c>
      <c r="N15" s="17" t="n">
        <f aca="false">L15-M15</f>
        <v>0</v>
      </c>
      <c r="O15" s="22" t="s">
        <v>94</v>
      </c>
      <c r="P15" s="17" t="n">
        <v>517.5</v>
      </c>
      <c r="Q15" s="11" t="s">
        <v>136</v>
      </c>
    </row>
    <row r="16" customFormat="false" ht="15" hidden="false" customHeight="true" outlineLevel="0" collapsed="false">
      <c r="A16" s="15" t="s">
        <v>137</v>
      </c>
      <c r="B16" s="15" t="s">
        <v>76</v>
      </c>
      <c r="C16" s="15" t="s">
        <v>138</v>
      </c>
      <c r="D16" s="15" t="s">
        <v>85</v>
      </c>
      <c r="E16" s="16" t="s">
        <v>79</v>
      </c>
      <c r="F16" s="16" t="s">
        <v>139</v>
      </c>
      <c r="G16" s="17" t="n">
        <v>517.5</v>
      </c>
      <c r="H16" s="18" t="n">
        <v>450</v>
      </c>
      <c r="I16" s="17" t="n">
        <f aca="false">G16-H16</f>
        <v>67.5</v>
      </c>
      <c r="J16" s="22" t="s">
        <v>94</v>
      </c>
      <c r="K16" s="16" t="s">
        <v>140</v>
      </c>
      <c r="L16" s="17" t="n">
        <v>517.5</v>
      </c>
      <c r="M16" s="18" t="n">
        <v>517.5</v>
      </c>
      <c r="N16" s="17" t="n">
        <f aca="false">L16-M16</f>
        <v>0</v>
      </c>
      <c r="O16" s="19" t="s">
        <v>81</v>
      </c>
      <c r="P16" s="17" t="n">
        <v>517.5</v>
      </c>
      <c r="Q16" s="11" t="s">
        <v>141</v>
      </c>
    </row>
    <row r="17" customFormat="false" ht="21.75" hidden="false" customHeight="true" outlineLevel="0" collapsed="false">
      <c r="A17" s="15" t="s">
        <v>142</v>
      </c>
      <c r="B17" s="15" t="s">
        <v>91</v>
      </c>
      <c r="C17" s="15" t="s">
        <v>143</v>
      </c>
      <c r="D17" s="15" t="s">
        <v>78</v>
      </c>
      <c r="E17" s="16" t="s">
        <v>79</v>
      </c>
      <c r="F17" s="16" t="s">
        <v>144</v>
      </c>
      <c r="G17" s="17" t="n">
        <v>517.5</v>
      </c>
      <c r="H17" s="18" t="n">
        <v>450</v>
      </c>
      <c r="I17" s="17" t="n">
        <f aca="false">G17-H17</f>
        <v>67.5</v>
      </c>
      <c r="J17" s="22" t="s">
        <v>94</v>
      </c>
      <c r="K17" s="16" t="s">
        <v>145</v>
      </c>
      <c r="L17" s="17" t="n">
        <v>517.5</v>
      </c>
      <c r="M17" s="18" t="n">
        <v>517.5</v>
      </c>
      <c r="N17" s="17" t="n">
        <f aca="false">L17-M17</f>
        <v>0</v>
      </c>
      <c r="O17" s="19" t="s">
        <v>81</v>
      </c>
      <c r="P17" s="17" t="n">
        <v>517.5</v>
      </c>
      <c r="Q17" s="11" t="s">
        <v>146</v>
      </c>
    </row>
    <row r="18" customFormat="false" ht="15" hidden="false" customHeight="true" outlineLevel="0" collapsed="false">
      <c r="A18" s="15" t="s">
        <v>147</v>
      </c>
      <c r="B18" s="15" t="s">
        <v>76</v>
      </c>
      <c r="C18" s="15" t="s">
        <v>148</v>
      </c>
      <c r="D18" s="15" t="s">
        <v>85</v>
      </c>
      <c r="E18" s="16" t="s">
        <v>79</v>
      </c>
      <c r="F18" s="16" t="s">
        <v>149</v>
      </c>
      <c r="G18" s="17" t="n">
        <v>450</v>
      </c>
      <c r="H18" s="18" t="n">
        <v>450</v>
      </c>
      <c r="I18" s="17" t="n">
        <f aca="false">G18-H18</f>
        <v>0</v>
      </c>
      <c r="J18" s="19" t="s">
        <v>81</v>
      </c>
      <c r="K18" s="16" t="s">
        <v>150</v>
      </c>
      <c r="L18" s="17" t="n">
        <v>517.5</v>
      </c>
      <c r="M18" s="18" t="n">
        <v>517.5</v>
      </c>
      <c r="N18" s="17" t="n">
        <f aca="false">L18-M18</f>
        <v>0</v>
      </c>
      <c r="O18" s="22" t="s">
        <v>94</v>
      </c>
      <c r="P18" s="17" t="n">
        <v>517.5</v>
      </c>
      <c r="Q18" s="11" t="s">
        <v>136</v>
      </c>
    </row>
    <row r="19" customFormat="false" ht="15" hidden="false" customHeight="true" outlineLevel="0" collapsed="false">
      <c r="A19" s="15" t="s">
        <v>151</v>
      </c>
      <c r="B19" s="15" t="s">
        <v>91</v>
      </c>
      <c r="C19" s="15" t="s">
        <v>152</v>
      </c>
      <c r="D19" s="15" t="s">
        <v>78</v>
      </c>
      <c r="E19" s="16" t="s">
        <v>79</v>
      </c>
      <c r="F19" s="16" t="s">
        <v>153</v>
      </c>
      <c r="G19" s="17" t="n">
        <v>450</v>
      </c>
      <c r="H19" s="18" t="n">
        <v>450</v>
      </c>
      <c r="I19" s="17" t="n">
        <f aca="false">G19-H19</f>
        <v>0</v>
      </c>
      <c r="J19" s="22" t="s">
        <v>94</v>
      </c>
      <c r="K19" s="16" t="s">
        <v>154</v>
      </c>
      <c r="L19" s="17" t="n">
        <v>517.5</v>
      </c>
      <c r="M19" s="18" t="n">
        <v>517.5</v>
      </c>
      <c r="N19" s="17" t="n">
        <f aca="false">L19-M19</f>
        <v>0</v>
      </c>
      <c r="O19" s="22" t="s">
        <v>94</v>
      </c>
      <c r="P19" s="17" t="n">
        <v>967.5</v>
      </c>
      <c r="Q19" s="11" t="s">
        <v>125</v>
      </c>
    </row>
    <row r="20" customFormat="false" ht="15" hidden="false" customHeight="true" outlineLevel="0" collapsed="false">
      <c r="A20" s="15" t="s">
        <v>155</v>
      </c>
      <c r="B20" s="15" t="s">
        <v>156</v>
      </c>
      <c r="C20" s="15" t="s">
        <v>157</v>
      </c>
      <c r="D20" s="15" t="s">
        <v>78</v>
      </c>
      <c r="E20" s="16" t="s">
        <v>79</v>
      </c>
      <c r="F20" s="16" t="s">
        <v>158</v>
      </c>
      <c r="G20" s="17" t="n">
        <v>517.5</v>
      </c>
      <c r="H20" s="18" t="n">
        <v>450</v>
      </c>
      <c r="I20" s="17" t="n">
        <f aca="false">G20-H20</f>
        <v>67.5</v>
      </c>
      <c r="J20" s="19" t="s">
        <v>81</v>
      </c>
      <c r="K20" s="16" t="s">
        <v>159</v>
      </c>
      <c r="L20" s="17" t="n">
        <v>517.5</v>
      </c>
      <c r="M20" s="18" t="n">
        <v>517.5</v>
      </c>
      <c r="N20" s="17" t="n">
        <f aca="false">L20-M20</f>
        <v>0</v>
      </c>
      <c r="O20" s="19" t="s">
        <v>81</v>
      </c>
      <c r="P20" s="17" t="n">
        <v>0</v>
      </c>
      <c r="Q20" s="11"/>
    </row>
    <row r="21" customFormat="false" ht="15" hidden="false" customHeight="true" outlineLevel="0" collapsed="false">
      <c r="A21" s="23" t="s">
        <v>160</v>
      </c>
      <c r="B21" s="23"/>
      <c r="C21" s="23"/>
      <c r="D21" s="23"/>
      <c r="E21" s="23"/>
      <c r="F21" s="23"/>
      <c r="G21" s="24" t="n">
        <f aca="false">SUM(G5:G20)</f>
        <v>7672.5</v>
      </c>
      <c r="H21" s="24" t="n">
        <f aca="false">SUM(H5:H20)</f>
        <v>7200</v>
      </c>
      <c r="I21" s="24" t="n">
        <f aca="false">SUM(I5:I20)</f>
        <v>472.5</v>
      </c>
      <c r="J21" s="23"/>
      <c r="K21" s="23"/>
      <c r="L21" s="24" t="n">
        <f aca="false">SUM(L5:L20)</f>
        <v>7245</v>
      </c>
      <c r="M21" s="24" t="n">
        <f aca="false">SUM(M5:M20)</f>
        <v>8280</v>
      </c>
      <c r="N21" s="24" t="n">
        <f aca="false">SUM(N5:N20)</f>
        <v>-1035</v>
      </c>
      <c r="O21" s="23"/>
      <c r="P21" s="24" t="n">
        <f aca="false">SUM(P5:P20)</f>
        <v>6525</v>
      </c>
      <c r="Q21" s="23"/>
    </row>
    <row r="22" customFormat="false" ht="15" hidden="false" customHeight="true" outlineLevel="0" collapsed="false">
      <c r="A22" s="25" t="s">
        <v>161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customFormat="false" ht="15" hidden="false" customHeight="true" outlineLevel="0" collapsed="false">
      <c r="A23" s="26" t="s">
        <v>162</v>
      </c>
      <c r="B23" s="26" t="s">
        <v>76</v>
      </c>
      <c r="C23" s="26" t="s">
        <v>163</v>
      </c>
      <c r="D23" s="26" t="s">
        <v>85</v>
      </c>
      <c r="E23" s="27" t="s">
        <v>164</v>
      </c>
      <c r="F23" s="27" t="s">
        <v>165</v>
      </c>
      <c r="G23" s="28" t="n">
        <v>0</v>
      </c>
      <c r="H23" s="28" t="n">
        <v>0</v>
      </c>
      <c r="I23" s="28" t="n">
        <f aca="false">G23-H23</f>
        <v>0</v>
      </c>
      <c r="J23" s="26" t="s">
        <v>87</v>
      </c>
      <c r="K23" s="27" t="s">
        <v>165</v>
      </c>
      <c r="L23" s="28" t="n">
        <v>0</v>
      </c>
      <c r="M23" s="28" t="n">
        <v>0</v>
      </c>
      <c r="N23" s="28" t="n">
        <f aca="false">L23-M23</f>
        <v>0</v>
      </c>
      <c r="O23" s="26" t="s">
        <v>87</v>
      </c>
      <c r="P23" s="28" t="n">
        <v>0</v>
      </c>
      <c r="Q23" s="29" t="s">
        <v>166</v>
      </c>
    </row>
    <row r="24" customFormat="false" ht="15" hidden="false" customHeight="true" outlineLevel="0" collapsed="false">
      <c r="A24" s="26" t="s">
        <v>167</v>
      </c>
      <c r="B24" s="26" t="s">
        <v>76</v>
      </c>
      <c r="C24" s="26" t="s">
        <v>168</v>
      </c>
      <c r="D24" s="26" t="s">
        <v>85</v>
      </c>
      <c r="E24" s="27" t="s">
        <v>164</v>
      </c>
      <c r="F24" s="27" t="s">
        <v>165</v>
      </c>
      <c r="G24" s="28" t="n">
        <v>0</v>
      </c>
      <c r="H24" s="28" t="n">
        <v>0</v>
      </c>
      <c r="I24" s="28" t="n">
        <f aca="false">G24-H24</f>
        <v>0</v>
      </c>
      <c r="J24" s="26" t="s">
        <v>87</v>
      </c>
      <c r="K24" s="27" t="s">
        <v>165</v>
      </c>
      <c r="L24" s="28" t="n">
        <v>0</v>
      </c>
      <c r="M24" s="28" t="n">
        <v>0</v>
      </c>
      <c r="N24" s="28" t="n">
        <f aca="false">L24-M24</f>
        <v>0</v>
      </c>
      <c r="O24" s="26" t="s">
        <v>87</v>
      </c>
      <c r="P24" s="28" t="n">
        <v>0</v>
      </c>
      <c r="Q24" s="29" t="s">
        <v>166</v>
      </c>
    </row>
    <row r="25" customFormat="false" ht="15" hidden="false" customHeight="true" outlineLevel="0" collapsed="false">
      <c r="A25" s="26" t="s">
        <v>169</v>
      </c>
      <c r="B25" s="26" t="s">
        <v>170</v>
      </c>
      <c r="C25" s="26" t="s">
        <v>171</v>
      </c>
      <c r="D25" s="26" t="s">
        <v>78</v>
      </c>
      <c r="E25" s="27" t="s">
        <v>164</v>
      </c>
      <c r="F25" s="27" t="s">
        <v>165</v>
      </c>
      <c r="G25" s="28" t="n">
        <v>0</v>
      </c>
      <c r="H25" s="28" t="n">
        <v>0</v>
      </c>
      <c r="I25" s="28" t="n">
        <f aca="false">G25-H25</f>
        <v>0</v>
      </c>
      <c r="J25" s="26" t="s">
        <v>87</v>
      </c>
      <c r="K25" s="27" t="s">
        <v>165</v>
      </c>
      <c r="L25" s="28" t="n">
        <v>0</v>
      </c>
      <c r="M25" s="28" t="n">
        <v>0</v>
      </c>
      <c r="N25" s="28" t="n">
        <f aca="false">L25-M25</f>
        <v>0</v>
      </c>
      <c r="O25" s="26" t="s">
        <v>87</v>
      </c>
      <c r="P25" s="28" t="n">
        <v>0</v>
      </c>
      <c r="Q25" s="29" t="s">
        <v>172</v>
      </c>
    </row>
    <row r="26" customFormat="false" ht="15" hidden="false" customHeight="true" outlineLevel="0" collapsed="false">
      <c r="A26" s="26" t="s">
        <v>173</v>
      </c>
      <c r="B26" s="26" t="s">
        <v>91</v>
      </c>
      <c r="C26" s="26" t="s">
        <v>174</v>
      </c>
      <c r="D26" s="26" t="s">
        <v>85</v>
      </c>
      <c r="E26" s="27" t="s">
        <v>164</v>
      </c>
      <c r="F26" s="27" t="s">
        <v>165</v>
      </c>
      <c r="G26" s="28" t="n">
        <v>0</v>
      </c>
      <c r="H26" s="28" t="n">
        <v>0</v>
      </c>
      <c r="I26" s="28" t="n">
        <f aca="false">G26-H26</f>
        <v>0</v>
      </c>
      <c r="J26" s="26" t="s">
        <v>87</v>
      </c>
      <c r="K26" s="27" t="s">
        <v>165</v>
      </c>
      <c r="L26" s="28" t="n">
        <v>0</v>
      </c>
      <c r="M26" s="28" t="n">
        <v>0</v>
      </c>
      <c r="N26" s="28" t="n">
        <f aca="false">L26-M26</f>
        <v>0</v>
      </c>
      <c r="O26" s="26" t="s">
        <v>87</v>
      </c>
      <c r="P26" s="28" t="n">
        <v>0</v>
      </c>
      <c r="Q26" s="29" t="s">
        <v>172</v>
      </c>
    </row>
    <row r="27" customFormat="false" ht="15" hidden="false" customHeight="true" outlineLevel="0" collapsed="false">
      <c r="A27" s="26" t="s">
        <v>175</v>
      </c>
      <c r="B27" s="26" t="s">
        <v>76</v>
      </c>
      <c r="C27" s="26" t="s">
        <v>176</v>
      </c>
      <c r="D27" s="26" t="s">
        <v>78</v>
      </c>
      <c r="E27" s="27" t="s">
        <v>164</v>
      </c>
      <c r="F27" s="27" t="s">
        <v>165</v>
      </c>
      <c r="G27" s="28" t="n">
        <v>0</v>
      </c>
      <c r="H27" s="28" t="n">
        <v>0</v>
      </c>
      <c r="I27" s="28" t="n">
        <f aca="false">G27-H27</f>
        <v>0</v>
      </c>
      <c r="J27" s="26" t="s">
        <v>87</v>
      </c>
      <c r="K27" s="27" t="s">
        <v>165</v>
      </c>
      <c r="L27" s="28" t="n">
        <v>0</v>
      </c>
      <c r="M27" s="28" t="n">
        <v>0</v>
      </c>
      <c r="N27" s="28" t="n">
        <f aca="false">L27-M27</f>
        <v>0</v>
      </c>
      <c r="O27" s="26" t="s">
        <v>87</v>
      </c>
      <c r="P27" s="28" t="n">
        <v>0</v>
      </c>
      <c r="Q27" s="29" t="s">
        <v>172</v>
      </c>
    </row>
    <row r="28" customFormat="false" ht="15" hidden="false" customHeight="true" outlineLevel="0" collapsed="false">
      <c r="A28" s="30" t="s">
        <v>177</v>
      </c>
      <c r="B28" s="30"/>
      <c r="C28" s="30"/>
      <c r="D28" s="30"/>
      <c r="E28" s="30"/>
      <c r="F28" s="30"/>
      <c r="G28" s="31" t="n">
        <f aca="false">SUM(G5:G20)+SUM(G23:G27)</f>
        <v>7672.5</v>
      </c>
      <c r="H28" s="31" t="n">
        <f aca="false">SUM(H5:H20)+SUM(H23:H27)</f>
        <v>7200</v>
      </c>
      <c r="I28" s="31" t="n">
        <f aca="false">SUM(I5:I20)+SUM(I23:I27)</f>
        <v>472.5</v>
      </c>
      <c r="J28" s="30"/>
      <c r="K28" s="30"/>
      <c r="L28" s="31" t="n">
        <f aca="false">SUM(L5:L20)+SUM(L23:L27)</f>
        <v>7245</v>
      </c>
      <c r="M28" s="31" t="n">
        <f aca="false">SUM(M5:M20)+SUM(M23:M27)</f>
        <v>8280</v>
      </c>
      <c r="N28" s="31" t="n">
        <f aca="false">SUM(N5:N20)+SUM(N23:N27)</f>
        <v>-1035</v>
      </c>
      <c r="O28" s="30"/>
      <c r="P28" s="31" t="n">
        <f aca="false">SUM(P5:P20)+SUM(P23:P27)</f>
        <v>6525</v>
      </c>
      <c r="Q28" s="30"/>
    </row>
    <row r="30" customFormat="false" ht="15" hidden="false" customHeight="true" outlineLevel="0" collapsed="false">
      <c r="A30" s="32" t="s">
        <v>178</v>
      </c>
    </row>
    <row r="31" customFormat="false" ht="15" hidden="false" customHeight="true" outlineLevel="0" collapsed="false">
      <c r="A31" s="33" t="s">
        <v>179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customFormat="false" ht="15" hidden="false" customHeight="true" outlineLevel="0" collapsed="false">
      <c r="A32" s="33" t="s">
        <v>180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customFormat="false" ht="15" hidden="false" customHeight="true" outlineLevel="0" collapsed="false">
      <c r="A33" s="33" t="s">
        <v>181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customFormat="false" ht="15" hidden="false" customHeight="true" outlineLevel="0" collapsed="false">
      <c r="A34" s="33" t="s">
        <v>182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</row>
  </sheetData>
  <mergeCells count="7">
    <mergeCell ref="A1:Q1"/>
    <mergeCell ref="A4:Q4"/>
    <mergeCell ref="A22:Q22"/>
    <mergeCell ref="A31:Q31"/>
    <mergeCell ref="A32:Q32"/>
    <mergeCell ref="A33:Q33"/>
    <mergeCell ref="A34:Q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6"/>
  </cols>
  <sheetData>
    <row r="1" customFormat="false" ht="25.5" hidden="false" customHeight="true" outlineLevel="0" collapsed="false">
      <c r="A1" s="34" t="s">
        <v>183</v>
      </c>
      <c r="B1" s="34"/>
      <c r="C1" s="34"/>
      <c r="D1" s="34"/>
      <c r="E1" s="34"/>
      <c r="F1" s="34"/>
    </row>
    <row r="3" customFormat="false" ht="15" hidden="false" customHeight="true" outlineLevel="0" collapsed="false">
      <c r="A3" s="7" t="s">
        <v>184</v>
      </c>
    </row>
    <row r="4" customFormat="false" ht="15" hidden="false" customHeight="true" outlineLevel="0" collapsed="false">
      <c r="A4" s="10"/>
      <c r="B4" s="10" t="s">
        <v>185</v>
      </c>
      <c r="C4" s="10" t="s">
        <v>186</v>
      </c>
      <c r="D4" s="10" t="s">
        <v>187</v>
      </c>
      <c r="E4" s="10" t="s">
        <v>188</v>
      </c>
      <c r="F4" s="10" t="s">
        <v>189</v>
      </c>
    </row>
    <row r="5" customFormat="false" ht="32.25" hidden="false" customHeight="true" outlineLevel="0" collapsed="false">
      <c r="A5" s="35" t="s">
        <v>190</v>
      </c>
      <c r="B5" s="16" t="n">
        <v>16</v>
      </c>
      <c r="C5" s="17" t="n">
        <v>7200</v>
      </c>
      <c r="D5" s="17" t="n">
        <v>7672.5</v>
      </c>
      <c r="E5" s="17" t="n">
        <v>472.5</v>
      </c>
      <c r="F5" s="11" t="s">
        <v>191</v>
      </c>
    </row>
    <row r="6" customFormat="false" ht="32.25" hidden="false" customHeight="true" outlineLevel="0" collapsed="false">
      <c r="A6" s="35" t="s">
        <v>192</v>
      </c>
      <c r="B6" s="16" t="n">
        <v>16</v>
      </c>
      <c r="C6" s="17" t="n">
        <v>8280</v>
      </c>
      <c r="D6" s="17" t="n">
        <v>7245</v>
      </c>
      <c r="E6" s="17" t="n">
        <v>-1035</v>
      </c>
      <c r="F6" s="11" t="s">
        <v>193</v>
      </c>
    </row>
    <row r="7" customFormat="false" ht="42.75" hidden="false" customHeight="true" outlineLevel="0" collapsed="false">
      <c r="A7" s="36" t="s">
        <v>194</v>
      </c>
      <c r="B7" s="37" t="n">
        <v>16</v>
      </c>
      <c r="C7" s="38" t="n">
        <v>15480</v>
      </c>
      <c r="D7" s="38" t="n">
        <v>14917.5</v>
      </c>
      <c r="E7" s="38" t="n">
        <v>-562.5</v>
      </c>
      <c r="F7" s="39" t="s">
        <v>195</v>
      </c>
    </row>
    <row r="9" customFormat="false" ht="15" hidden="false" customHeight="true" outlineLevel="0" collapsed="false">
      <c r="A9" s="7" t="s">
        <v>196</v>
      </c>
    </row>
    <row r="10" customFormat="false" ht="15" hidden="false" customHeight="true" outlineLevel="0" collapsed="false">
      <c r="A10" s="10"/>
      <c r="B10" s="10" t="s">
        <v>187</v>
      </c>
      <c r="C10" s="10" t="s">
        <v>197</v>
      </c>
      <c r="D10" s="10" t="s">
        <v>198</v>
      </c>
      <c r="E10" s="10" t="s">
        <v>199</v>
      </c>
    </row>
    <row r="11" customFormat="false" ht="15" hidden="false" customHeight="true" outlineLevel="0" collapsed="false">
      <c r="A11" s="35" t="s">
        <v>190</v>
      </c>
      <c r="B11" s="17" t="n">
        <v>7672.5</v>
      </c>
      <c r="C11" s="17" t="n">
        <v>4252.5</v>
      </c>
      <c r="D11" s="17" t="n">
        <v>3420</v>
      </c>
      <c r="E11" s="40" t="n">
        <v>0.5542</v>
      </c>
    </row>
    <row r="12" customFormat="false" ht="15" hidden="false" customHeight="true" outlineLevel="0" collapsed="false">
      <c r="A12" s="35" t="s">
        <v>192</v>
      </c>
      <c r="B12" s="17" t="n">
        <v>7245</v>
      </c>
      <c r="C12" s="17" t="n">
        <v>4140</v>
      </c>
      <c r="D12" s="17" t="n">
        <v>3105</v>
      </c>
      <c r="E12" s="40" t="n">
        <v>0.5714</v>
      </c>
    </row>
    <row r="13" customFormat="false" ht="15" hidden="false" customHeight="true" outlineLevel="0" collapsed="false">
      <c r="A13" s="36" t="s">
        <v>194</v>
      </c>
      <c r="B13" s="38" t="n">
        <v>14917.5</v>
      </c>
      <c r="C13" s="38" t="n">
        <v>8392.5</v>
      </c>
      <c r="D13" s="38" t="n">
        <v>6525</v>
      </c>
      <c r="E13" s="41" t="n">
        <v>0.5626</v>
      </c>
    </row>
    <row r="15" customFormat="false" ht="15" hidden="false" customHeight="true" outlineLevel="0" collapsed="false">
      <c r="A15" s="7" t="s">
        <v>200</v>
      </c>
    </row>
    <row r="16" customFormat="false" ht="15" hidden="false" customHeight="true" outlineLevel="0" collapsed="false">
      <c r="A16" s="10" t="s">
        <v>201</v>
      </c>
      <c r="B16" s="10" t="s">
        <v>202</v>
      </c>
    </row>
    <row r="17" customFormat="false" ht="15" hidden="false" customHeight="true" outlineLevel="0" collapsed="false">
      <c r="A17" s="42" t="s">
        <v>203</v>
      </c>
      <c r="B17" s="17" t="n">
        <v>3420</v>
      </c>
    </row>
    <row r="18" customFormat="false" ht="15" hidden="false" customHeight="true" outlineLevel="0" collapsed="false">
      <c r="A18" s="42" t="s">
        <v>204</v>
      </c>
      <c r="B18" s="17" t="n">
        <v>3105</v>
      </c>
    </row>
    <row r="19" customFormat="false" ht="15" hidden="false" customHeight="true" outlineLevel="0" collapsed="false">
      <c r="A19" s="42" t="s">
        <v>205</v>
      </c>
      <c r="B19" s="17" t="n">
        <v>3381</v>
      </c>
    </row>
    <row r="20" customFormat="false" ht="21.75" hidden="false" customHeight="true" outlineLevel="0" collapsed="false">
      <c r="A20" s="43" t="s">
        <v>206</v>
      </c>
      <c r="B20" s="44" t="n">
        <v>9906</v>
      </c>
    </row>
    <row r="22" customFormat="false" ht="15" hidden="false" customHeight="true" outlineLevel="0" collapsed="false">
      <c r="A22" s="7" t="s">
        <v>207</v>
      </c>
    </row>
    <row r="23" customFormat="false" ht="15" hidden="false" customHeight="true" outlineLevel="0" collapsed="false">
      <c r="A23" s="10" t="s">
        <v>57</v>
      </c>
      <c r="B23" s="10" t="s">
        <v>208</v>
      </c>
      <c r="C23" s="10" t="s">
        <v>209</v>
      </c>
      <c r="D23" s="10" t="s">
        <v>202</v>
      </c>
    </row>
    <row r="24" customFormat="false" ht="15" hidden="false" customHeight="true" outlineLevel="0" collapsed="false">
      <c r="A24" s="15" t="s">
        <v>137</v>
      </c>
      <c r="B24" s="15" t="s">
        <v>210</v>
      </c>
      <c r="C24" s="15" t="s">
        <v>211</v>
      </c>
      <c r="D24" s="17" t="n">
        <v>276</v>
      </c>
    </row>
    <row r="25" customFormat="false" ht="15" hidden="false" customHeight="true" outlineLevel="0" collapsed="false">
      <c r="A25" s="15" t="s">
        <v>132</v>
      </c>
      <c r="B25" s="15" t="s">
        <v>212</v>
      </c>
      <c r="C25" s="15" t="s">
        <v>213</v>
      </c>
      <c r="D25" s="17" t="n">
        <v>517.5</v>
      </c>
    </row>
    <row r="26" customFormat="false" ht="15" hidden="false" customHeight="true" outlineLevel="0" collapsed="false">
      <c r="A26" s="15" t="s">
        <v>147</v>
      </c>
      <c r="B26" s="15" t="s">
        <v>214</v>
      </c>
      <c r="C26" s="15" t="s">
        <v>213</v>
      </c>
      <c r="D26" s="17" t="n">
        <v>517.5</v>
      </c>
    </row>
    <row r="27" customFormat="false" ht="15" hidden="false" customHeight="true" outlineLevel="0" collapsed="false">
      <c r="A27" s="15" t="s">
        <v>121</v>
      </c>
      <c r="B27" s="15" t="s">
        <v>215</v>
      </c>
      <c r="C27" s="15" t="s">
        <v>213</v>
      </c>
      <c r="D27" s="17" t="n">
        <v>517.5</v>
      </c>
    </row>
    <row r="28" customFormat="false" ht="15" hidden="false" customHeight="true" outlineLevel="0" collapsed="false">
      <c r="A28" s="15" t="s">
        <v>151</v>
      </c>
      <c r="B28" s="15" t="s">
        <v>216</v>
      </c>
      <c r="C28" s="15" t="s">
        <v>213</v>
      </c>
      <c r="D28" s="17" t="n">
        <v>517.5</v>
      </c>
    </row>
    <row r="29" customFormat="false" ht="15" hidden="false" customHeight="true" outlineLevel="0" collapsed="false">
      <c r="A29" s="15" t="s">
        <v>105</v>
      </c>
      <c r="B29" s="15" t="s">
        <v>217</v>
      </c>
      <c r="C29" s="15" t="s">
        <v>213</v>
      </c>
      <c r="D29" s="17" t="n">
        <v>517.5</v>
      </c>
    </row>
    <row r="30" customFormat="false" ht="15" hidden="false" customHeight="true" outlineLevel="0" collapsed="false">
      <c r="A30" s="15" t="s">
        <v>116</v>
      </c>
      <c r="B30" s="15" t="s">
        <v>218</v>
      </c>
      <c r="C30" s="15" t="s">
        <v>213</v>
      </c>
      <c r="D30" s="17" t="n">
        <v>517.5</v>
      </c>
    </row>
    <row r="31" customFormat="false" ht="15" hidden="false" customHeight="true" outlineLevel="0" collapsed="false">
      <c r="A31" s="45" t="s">
        <v>219</v>
      </c>
      <c r="C31" s="46"/>
      <c r="D31" s="47" t="n">
        <f aca="false">SUM(D24:D30)</f>
        <v>3381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52"/>
    <col collapsed="false" customWidth="true" hidden="false" outlineLevel="0" max="5" min="5" style="1" width="16"/>
  </cols>
  <sheetData>
    <row r="1" customFormat="false" ht="25.5" hidden="false" customHeight="true" outlineLevel="0" collapsed="false">
      <c r="A1" s="34" t="s">
        <v>220</v>
      </c>
      <c r="B1" s="34"/>
      <c r="C1" s="34"/>
      <c r="D1" s="34"/>
      <c r="E1" s="34"/>
    </row>
    <row r="3" customFormat="false" ht="15" hidden="false" customHeight="true" outlineLevel="0" collapsed="false">
      <c r="A3" s="13" t="s">
        <v>221</v>
      </c>
      <c r="B3" s="13" t="s">
        <v>222</v>
      </c>
      <c r="C3" s="13" t="s">
        <v>223</v>
      </c>
      <c r="D3" s="13" t="s">
        <v>224</v>
      </c>
      <c r="E3" s="13" t="s">
        <v>225</v>
      </c>
    </row>
    <row r="4" customFormat="false" ht="45.75" hidden="false" customHeight="true" outlineLevel="0" collapsed="false">
      <c r="A4" s="48" t="s">
        <v>226</v>
      </c>
      <c r="B4" s="22" t="s">
        <v>227</v>
      </c>
      <c r="C4" s="11" t="s">
        <v>228</v>
      </c>
      <c r="D4" s="11" t="s">
        <v>229</v>
      </c>
      <c r="E4" s="49" t="s">
        <v>230</v>
      </c>
    </row>
    <row r="5" customFormat="false" ht="45.75" hidden="false" customHeight="true" outlineLevel="0" collapsed="false">
      <c r="A5" s="48" t="s">
        <v>231</v>
      </c>
      <c r="B5" s="35" t="s">
        <v>232</v>
      </c>
      <c r="C5" s="11" t="s">
        <v>233</v>
      </c>
      <c r="D5" s="11" t="s">
        <v>234</v>
      </c>
      <c r="E5" s="49" t="s">
        <v>235</v>
      </c>
    </row>
    <row r="6" customFormat="false" ht="45.75" hidden="false" customHeight="true" outlineLevel="0" collapsed="false">
      <c r="A6" s="48" t="s">
        <v>236</v>
      </c>
      <c r="B6" s="35" t="s">
        <v>237</v>
      </c>
      <c r="C6" s="11" t="s">
        <v>238</v>
      </c>
      <c r="D6" s="11" t="s">
        <v>239</v>
      </c>
      <c r="E6" s="49" t="s">
        <v>235</v>
      </c>
    </row>
    <row r="7" customFormat="false" ht="45.75" hidden="false" customHeight="true" outlineLevel="0" collapsed="false">
      <c r="A7" s="48" t="s">
        <v>240</v>
      </c>
      <c r="B7" s="35" t="s">
        <v>241</v>
      </c>
      <c r="C7" s="11" t="s">
        <v>242</v>
      </c>
      <c r="D7" s="11" t="s">
        <v>243</v>
      </c>
      <c r="E7" s="49" t="s">
        <v>244</v>
      </c>
    </row>
    <row r="8" customFormat="false" ht="45.75" hidden="false" customHeight="true" outlineLevel="0" collapsed="false">
      <c r="A8" s="48" t="s">
        <v>245</v>
      </c>
      <c r="B8" s="35" t="s">
        <v>246</v>
      </c>
      <c r="C8" s="11" t="s">
        <v>247</v>
      </c>
      <c r="D8" s="11" t="s">
        <v>248</v>
      </c>
      <c r="E8" s="49" t="s">
        <v>249</v>
      </c>
    </row>
    <row r="9" customFormat="false" ht="45.75" hidden="false" customHeight="true" outlineLevel="0" collapsed="false">
      <c r="A9" s="48" t="s">
        <v>250</v>
      </c>
      <c r="B9" s="35" t="s">
        <v>251</v>
      </c>
      <c r="C9" s="11" t="s">
        <v>252</v>
      </c>
      <c r="D9" s="11" t="s">
        <v>253</v>
      </c>
      <c r="E9" s="49" t="s">
        <v>254</v>
      </c>
    </row>
    <row r="10" customFormat="false" ht="45.75" hidden="false" customHeight="true" outlineLevel="0" collapsed="false">
      <c r="A10" s="48" t="s">
        <v>255</v>
      </c>
      <c r="B10" s="35" t="s">
        <v>256</v>
      </c>
      <c r="C10" s="11" t="s">
        <v>257</v>
      </c>
      <c r="D10" s="11" t="s">
        <v>258</v>
      </c>
      <c r="E10" s="49" t="s">
        <v>42</v>
      </c>
    </row>
    <row r="11" customFormat="false" ht="45.75" hidden="false" customHeight="true" outlineLevel="0" collapsed="false">
      <c r="A11" s="48" t="s">
        <v>259</v>
      </c>
      <c r="B11" s="35" t="s">
        <v>260</v>
      </c>
      <c r="C11" s="11" t="s">
        <v>233</v>
      </c>
      <c r="D11" s="11" t="s">
        <v>261</v>
      </c>
      <c r="E11" s="49" t="s">
        <v>87</v>
      </c>
    </row>
    <row r="12" customFormat="false" ht="45.75" hidden="false" customHeight="true" outlineLevel="0" collapsed="false">
      <c r="A12" s="48" t="s">
        <v>262</v>
      </c>
      <c r="B12" s="35" t="s">
        <v>263</v>
      </c>
      <c r="C12" s="11" t="s">
        <v>264</v>
      </c>
      <c r="D12" s="11" t="s">
        <v>265</v>
      </c>
      <c r="E12" s="49" t="s">
        <v>87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2026-08-13T16:43:11Z</dcterms:created>
  <dc:creator>openpyxl</dc:creator>
  <dc:description/>
  <dc:language>en-US</dc:language>
  <cp:lastModifiedBy/>
  <dcterms:modified xsi:type="dcterms:W3CDTF">2026-08-13T16:43:39Z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