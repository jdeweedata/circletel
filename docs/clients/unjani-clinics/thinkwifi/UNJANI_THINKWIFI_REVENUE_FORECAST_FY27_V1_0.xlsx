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ollout Schedule" sheetId="2" state="visible" r:id="rId4"/>
    <sheet name="Ad Revenue Forecast" sheetId="3" state="visible" r:id="rId5"/>
    <sheet name="Connectivity Revenue" sheetId="4" state="visible" r:id="rId6"/>
    <sheet name="Combined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<sst xmlns="http://schemas.openxmlformats.org/spreadsheetml/2006/main" count="170" uniqueCount="109">
  <si>
    <t xml:space="preserve">Unjani ThinkWiFi — Revenue Forecast Assumptions</t>
  </si>
  <si>
    <t xml:space="preserve">DASHBOARD ACTUALS (Source: Looker Studio)</t>
  </si>
  <si>
    <t xml:space="preserve">February 2026 — Gross Ad Revenue</t>
  </si>
  <si>
    <t xml:space="preserve">Dashboard actual</t>
  </si>
  <si>
    <t xml:space="preserve">March 2026 — Gross Ad Revenue</t>
  </si>
  <si>
    <t xml:space="preserve">April 2026 — Gross Ad Revenue</t>
  </si>
  <si>
    <t xml:space="preserve">Dashboard actual (full month)</t>
  </si>
  <si>
    <t xml:space="preserve">May 2026 — Gross Ad Revenue (23 days)</t>
  </si>
  <si>
    <t xml:space="preserve">Dashboard actual (partial month)</t>
  </si>
  <si>
    <t xml:space="preserve">May 2026 — Pro-rated to 31 days</t>
  </si>
  <si>
    <t xml:space="preserve">R8,789/23*31</t>
  </si>
  <si>
    <t xml:space="preserve">SITE METRICS (April 2026)</t>
  </si>
  <si>
    <t xml:space="preserve">Active sites (April)</t>
  </si>
  <si>
    <t xml:space="preserve">Dashboard / Performance Analysis v2.0</t>
  </si>
  <si>
    <t xml:space="preserve">Per-site avg gross ad rev (April)</t>
  </si>
  <si>
    <t xml:space="preserve">R11,455 / 19 sites</t>
  </si>
  <si>
    <t xml:space="preserve">Per-site avg partner rev (April)</t>
  </si>
  <si>
    <t xml:space="preserve">R6,332 / 19 sites</t>
  </si>
  <si>
    <t xml:space="preserve">Network avg RPI</t>
  </si>
  <si>
    <t xml:space="preserve">Performance Analysis v2.0</t>
  </si>
  <si>
    <t xml:space="preserve">Barcelona RPI (best)</t>
  </si>
  <si>
    <t xml:space="preserve">CONNECTIVITY REVENUE</t>
  </si>
  <si>
    <t xml:space="preserve">Unjani service fee per site</t>
  </si>
  <si>
    <t xml:space="preserve">Contractual — fixed monthly</t>
  </si>
  <si>
    <t xml:space="preserve">OPEX PER SITE (Complete)</t>
  </si>
  <si>
    <t xml:space="preserve">MTN Wholesale (Tarana 50 Mbps)</t>
  </si>
  <si>
    <t xml:space="preserve">Current schedule</t>
  </si>
  <si>
    <t xml:space="preserve">NOC allocation</t>
  </si>
  <si>
    <t xml:space="preserve">Budget v7.2</t>
  </si>
  <si>
    <t xml:space="preserve">Teraco NNI allocation</t>
  </si>
  <si>
    <t xml:space="preserve">Budget Forecast Impact v2.0</t>
  </si>
  <si>
    <t xml:space="preserve">Echo SP CaaS</t>
  </si>
  <si>
    <t xml:space="preserve">AgilityGIS BSS</t>
  </si>
  <si>
    <t xml:space="preserve">Field support allocation</t>
  </si>
  <si>
    <t xml:space="preserve">Total OPEX per site</t>
  </si>
  <si>
    <t xml:space="preserve">Sum of above</t>
  </si>
  <si>
    <t xml:space="preserve">ROLLOUT SCHEDULE</t>
  </si>
  <si>
    <t xml:space="preserve">Sites deployed (current)</t>
  </si>
  <si>
    <t xml:space="preserve">April 2026</t>
  </si>
  <si>
    <t xml:space="preserve">Sites active (current)</t>
  </si>
  <si>
    <t xml:space="preserve">Target sites by FY27 end (Feb 2027)</t>
  </si>
  <si>
    <t xml:space="preserve">Budget pace</t>
  </si>
  <si>
    <t xml:space="preserve">New sites to deploy (remaining)</t>
  </si>
  <si>
    <t xml:space="preserve">50-22</t>
  </si>
  <si>
    <t xml:space="preserve">Migration-ready sites available</t>
  </si>
  <si>
    <t xml:space="preserve">Clinic Register v3.1</t>
  </si>
  <si>
    <t xml:space="preserve">AREA TYPE DISTRIBUTION (253 clinics)</t>
  </si>
  <si>
    <t xml:space="preserve">Peri-urban/Township</t>
  </si>
  <si>
    <t xml:space="preserve">79.4% of network</t>
  </si>
  <si>
    <t xml:space="preserve">Township</t>
  </si>
  <si>
    <t xml:space="preserve">8.7%</t>
  </si>
  <si>
    <t xml:space="preserve">Urban</t>
  </si>
  <si>
    <t xml:space="preserve">7.9%</t>
  </si>
  <si>
    <t xml:space="preserve">Rural</t>
  </si>
  <si>
    <t xml:space="preserve">4.0%</t>
  </si>
  <si>
    <t xml:space="preserve">REVENUE MODEL</t>
  </si>
  <si>
    <t xml:space="preserve">TDX platform fee</t>
  </si>
  <si>
    <t xml:space="preserve">15% of gross ad revenue</t>
  </si>
  <si>
    <t xml:space="preserve">Tier 1 recovery (FWA sites)</t>
  </si>
  <si>
    <t xml:space="preserve">First R450 from net ad rev → CT</t>
  </si>
  <si>
    <t xml:space="preserve">Tier 2 split — CircleTel</t>
  </si>
  <si>
    <t xml:space="preserve">50% of net above Tier 1</t>
  </si>
  <si>
    <t xml:space="preserve">Tier 2 split — TDX</t>
  </si>
  <si>
    <t xml:space="preserve">Rollout Schedule — FY27</t>
  </si>
  <si>
    <t xml:space="preserve">Metric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</si>
  <si>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</si>
  <si>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</si>
  <si>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</si>
  <si>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</si>
  <si>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</si>
  <si>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</si>
  <si>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</si>
  <si>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</si>
  <si>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</si>
  <si>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</si>
  <si>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</si>
  <si>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</si>
  <si>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FY27 Total</t>
  </si>
  <si>
    <t xml:space="preserve">Sites Deployed (Cumulative)</t>
  </si>
  <si>
    <t xml:space="preserve">New Sites Deployed</t>
  </si>
  <si>
    <t xml:space="preserve">Active Sites</t>
  </si>
  <si>
    <t xml:space="preserve">Activation Rate</t>
  </si>
  <si>
    <t xml:space="preserve">TDX Ad Revenue Forecast — FY27</t>
  </si>
  <si>
    <t xml:space="preserve">Per-Site Avg Gross Ad Rev (R)</t>
  </si>
  <si>
    <t xml:space="preserve">Source</t>
  </si>
  <si>
    <t xml:space="preserve">Actual</t>
  </si>
  <si>
    <t xml:space="preserve">Pro-rated</t>
  </si>
  <si>
    <t xml:space="preserve">Forecast</t>
  </si>
  <si>
    <t xml:space="preserve">Total Gross Ad Revenue</t>
  </si>
  <si>
    <t xml:space="preserve">Less: 15% TDX Platform Fee</t>
  </si>
  <si>
    <t xml:space="preserve">Net Ad Revenue</t>
  </si>
  <si>
    <t xml:space="preserve">Think Share (TDX 50% Tier 2)</t>
  </si>
  <si>
    <t xml:space="preserve">Partner Revenue (CircleTel Share)</t>
  </si>
  <si>
    <t xml:space="preserve">Avg Partner Rev / Active Site</t>
  </si>
  <si>
    <t xml:space="preserve">Unjani Service Fee Revenue — FY27</t>
  </si>
  <si>
    <t xml:space="preserve">Service Fee per Site (R)</t>
  </si>
  <si>
    <t xml:space="preserve">Total Connectivity Revenue</t>
  </si>
  <si>
    <t xml:space="preserve">Unjani ThinkWiFi — Combined Revenue &amp; Margin Summary</t>
  </si>
  <si>
    <t xml:space="preserve">FY27 (March 2026 – February 2027)</t>
  </si>
  <si>
    <t xml:space="preserve">REVENUE</t>
  </si>
  <si>
    <t xml:space="preserve">Connectivity Revenue (R450/site)</t>
  </si>
  <si>
    <t xml:space="preserve">Partner Ad Revenue (CT Share)</t>
  </si>
  <si>
    <t xml:space="preserve">TOTAL CIRCLETEL REVENUE</t>
  </si>
  <si>
    <t xml:space="preserve">OPERATING COSTS</t>
  </si>
  <si>
    <t xml:space="preserve">OPEX per Site (R786.46)</t>
  </si>
  <si>
    <t xml:space="preserve">CAPEX (R4,203/new site)</t>
  </si>
  <si>
    <t xml:space="preserve">NET CONTRIBUTION (excl. CAPEX)</t>
  </si>
  <si>
    <t xml:space="preserve">Net Contribution per Site</t>
  </si>
  <si>
    <t xml:space="preserve">Contribution Margin 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</si>
</sst>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"/>
    <numFmt numFmtId="167" formatCode="0.0%"/>
    <numFmt numFmtId="168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E2EFDA"/>
      </patternFill>
    </fill>
    <fill>
      <patternFill patternType="solid">
        <fgColor rgb="FFB4C6E7"/>
        <bgColor rgb="FF99CCFF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45"/>
  </cols>
  <sheetData>
    <row r="1" customFormat="false" ht="17.25" hidden="false" customHeight="true" outlineLevel="0" collapsed="false">
      <c r="A1" s="2" t="s">
        <v>0</v>
      </c>
      <c r="B1" s="2"/>
      <c r="C1" s="2"/>
    </row>
    <row r="3" customFormat="false" ht="15" hidden="false" customHeight="true" outlineLevel="0" collapsed="false">
      <c r="A3" s="3"/>
      <c r="B3" s="3"/>
      <c r="C3" s="4"/>
    </row>
    <row r="4" customFormat="false" ht="15" hidden="false" customHeight="true" outlineLevel="0" collapsed="false">
      <c r="A4" s="3" t="s">
        <v>1</v>
      </c>
      <c r="B4" s="3"/>
      <c r="C4" s="4"/>
    </row>
    <row r="5" customFormat="false" ht="15" hidden="false" customHeight="true" outlineLevel="0" collapsed="false">
      <c r="A5" s="5" t="s">
        <v>2</v>
      </c>
      <c r="B5" s="6" t="n">
        <v>4432</v>
      </c>
      <c r="C5" s="4" t="s">
        <v>3</v>
      </c>
    </row>
    <row r="6" customFormat="false" ht="15" hidden="false" customHeight="true" outlineLevel="0" collapsed="false">
      <c r="A6" s="5" t="s">
        <v>4</v>
      </c>
      <c r="B6" s="6" t="n">
        <v>4841</v>
      </c>
      <c r="C6" s="4" t="s">
        <v>3</v>
      </c>
    </row>
    <row r="7" customFormat="false" ht="15" hidden="false" customHeight="true" outlineLevel="0" collapsed="false">
      <c r="A7" s="5" t="s">
        <v>5</v>
      </c>
      <c r="B7" s="6" t="n">
        <v>11455</v>
      </c>
      <c r="C7" s="4" t="s">
        <v>6</v>
      </c>
    </row>
    <row r="8" customFormat="false" ht="15" hidden="false" customHeight="true" outlineLevel="0" collapsed="false">
      <c r="A8" s="5" t="s">
        <v>7</v>
      </c>
      <c r="B8" s="6" t="n">
        <v>8789</v>
      </c>
      <c r="C8" s="4" t="s">
        <v>8</v>
      </c>
    </row>
    <row r="9" customFormat="false" ht="15" hidden="false" customHeight="true" outlineLevel="0" collapsed="false">
      <c r="A9" s="5" t="s">
        <v>9</v>
      </c>
      <c r="B9" s="6" t="n">
        <v>11836</v>
      </c>
      <c r="C9" s="4" t="s">
        <v>10</v>
      </c>
    </row>
    <row r="10" customFormat="false" ht="15" hidden="false" customHeight="true" outlineLevel="0" collapsed="false">
      <c r="A10" s="3"/>
      <c r="B10" s="3"/>
      <c r="C10" s="4"/>
    </row>
    <row r="11" customFormat="false" ht="15" hidden="false" customHeight="true" outlineLevel="0" collapsed="false">
      <c r="A11" s="3" t="s">
        <v>11</v>
      </c>
      <c r="B11" s="3"/>
      <c r="C11" s="4"/>
    </row>
    <row r="12" customFormat="false" ht="15" hidden="false" customHeight="true" outlineLevel="0" collapsed="false">
      <c r="A12" s="3" t="s">
        <v>12</v>
      </c>
      <c r="B12" s="6" t="n">
        <v>19</v>
      </c>
      <c r="C12" s="4" t="s">
        <v>13</v>
      </c>
    </row>
    <row r="13" customFormat="false" ht="15" hidden="false" customHeight="true" outlineLevel="0" collapsed="false">
      <c r="A13" s="3" t="s">
        <v>14</v>
      </c>
      <c r="B13" s="6" t="n">
        <v>603</v>
      </c>
      <c r="C13" s="4" t="s">
        <v>15</v>
      </c>
    </row>
    <row r="14" customFormat="false" ht="15" hidden="false" customHeight="true" outlineLevel="0" collapsed="false">
      <c r="A14" s="3" t="s">
        <v>16</v>
      </c>
      <c r="B14" s="6" t="n">
        <v>333</v>
      </c>
      <c r="C14" s="4" t="s">
        <v>17</v>
      </c>
    </row>
    <row r="15" customFormat="false" ht="15" hidden="false" customHeight="true" outlineLevel="0" collapsed="false">
      <c r="A15" s="3" t="s">
        <v>18</v>
      </c>
      <c r="B15" s="7" t="n">
        <v>0.026</v>
      </c>
      <c r="C15" s="4" t="s">
        <v>19</v>
      </c>
    </row>
    <row r="16" customFormat="false" ht="15" hidden="false" customHeight="true" outlineLevel="0" collapsed="false">
      <c r="A16" s="3" t="s">
        <v>20</v>
      </c>
      <c r="B16" s="7" t="n">
        <v>0.085</v>
      </c>
      <c r="C16" s="4" t="s">
        <v>19</v>
      </c>
    </row>
    <row r="17" customFormat="false" ht="15" hidden="false" customHeight="true" outlineLevel="0" collapsed="false">
      <c r="A17" s="3"/>
      <c r="B17" s="3"/>
      <c r="C17" s="4"/>
    </row>
    <row r="18" customFormat="false" ht="15" hidden="false" customHeight="true" outlineLevel="0" collapsed="false">
      <c r="A18" s="5" t="s">
        <v>21</v>
      </c>
      <c r="B18" s="3"/>
      <c r="C18" s="4"/>
    </row>
    <row r="19" customFormat="false" ht="15" hidden="false" customHeight="true" outlineLevel="0" collapsed="false">
      <c r="A19" s="3" t="s">
        <v>22</v>
      </c>
      <c r="B19" s="6" t="n">
        <v>450</v>
      </c>
      <c r="C19" s="4" t="s">
        <v>23</v>
      </c>
    </row>
    <row r="20" customFormat="false" ht="15" hidden="false" customHeight="true" outlineLevel="0" collapsed="false">
      <c r="A20" s="3"/>
      <c r="B20" s="3"/>
      <c r="C20" s="4"/>
    </row>
    <row r="21" customFormat="false" ht="15" hidden="false" customHeight="true" outlineLevel="0" collapsed="false">
      <c r="A21" s="3" t="s">
        <v>24</v>
      </c>
      <c r="B21" s="3"/>
      <c r="C21" s="4"/>
    </row>
    <row r="22" customFormat="false" ht="15" hidden="false" customHeight="true" outlineLevel="0" collapsed="false">
      <c r="A22" s="3" t="s">
        <v>25</v>
      </c>
      <c r="B22" s="6" t="n">
        <v>499</v>
      </c>
      <c r="C22" s="4" t="s">
        <v>26</v>
      </c>
    </row>
    <row r="23" customFormat="false" ht="15" hidden="false" customHeight="true" outlineLevel="0" collapsed="false">
      <c r="A23" s="3" t="s">
        <v>27</v>
      </c>
      <c r="B23" s="6" t="n">
        <v>99</v>
      </c>
      <c r="C23" s="4" t="s">
        <v>28</v>
      </c>
    </row>
    <row r="24" customFormat="false" ht="15" hidden="false" customHeight="true" outlineLevel="0" collapsed="false">
      <c r="A24" s="3" t="s">
        <v>29</v>
      </c>
      <c r="B24" s="6" t="n">
        <v>62.5</v>
      </c>
      <c r="C24" s="4" t="s">
        <v>30</v>
      </c>
    </row>
    <row r="25" customFormat="false" ht="15" hidden="false" customHeight="true" outlineLevel="0" collapsed="false">
      <c r="A25" s="3" t="s">
        <v>31</v>
      </c>
      <c r="B25" s="6" t="n">
        <v>55</v>
      </c>
      <c r="C25" s="4" t="s">
        <v>30</v>
      </c>
    </row>
    <row r="26" customFormat="false" ht="15" hidden="false" customHeight="true" outlineLevel="0" collapsed="false">
      <c r="A26" s="3" t="s">
        <v>32</v>
      </c>
      <c r="B26" s="6" t="n">
        <v>10.96</v>
      </c>
      <c r="C26" s="4" t="s">
        <v>30</v>
      </c>
    </row>
    <row r="27" customFormat="false" ht="15" hidden="false" customHeight="true" outlineLevel="0" collapsed="false">
      <c r="A27" s="3" t="s">
        <v>33</v>
      </c>
      <c r="B27" s="6" t="n">
        <v>60</v>
      </c>
      <c r="C27" s="4" t="s">
        <v>28</v>
      </c>
    </row>
    <row r="28" customFormat="false" ht="15" hidden="false" customHeight="true" outlineLevel="0" collapsed="false">
      <c r="A28" s="3" t="s">
        <v>34</v>
      </c>
      <c r="B28" s="6" t="n">
        <v>786.46</v>
      </c>
      <c r="C28" s="4" t="s">
        <v>35</v>
      </c>
    </row>
    <row r="29" customFormat="false" ht="15" hidden="false" customHeight="true" outlineLevel="0" collapsed="false">
      <c r="A29" s="3"/>
      <c r="B29" s="3"/>
      <c r="C29" s="4"/>
    </row>
    <row r="30" customFormat="false" ht="15" hidden="false" customHeight="true" outlineLevel="0" collapsed="false">
      <c r="A30" s="5" t="s">
        <v>36</v>
      </c>
      <c r="B30" s="3"/>
      <c r="C30" s="4"/>
    </row>
    <row r="31" customFormat="false" ht="15" hidden="false" customHeight="true" outlineLevel="0" collapsed="false">
      <c r="A31" s="3" t="s">
        <v>37</v>
      </c>
      <c r="B31" s="6" t="n">
        <v>22</v>
      </c>
      <c r="C31" s="4" t="s">
        <v>38</v>
      </c>
    </row>
    <row r="32" customFormat="false" ht="15" hidden="false" customHeight="true" outlineLevel="0" collapsed="false">
      <c r="A32" s="3" t="s">
        <v>39</v>
      </c>
      <c r="B32" s="6" t="n">
        <v>19</v>
      </c>
      <c r="C32" s="4" t="s">
        <v>38</v>
      </c>
    </row>
    <row r="33" customFormat="false" ht="15" hidden="false" customHeight="true" outlineLevel="0" collapsed="false">
      <c r="A33" s="3" t="s">
        <v>40</v>
      </c>
      <c r="B33" s="6" t="n">
        <v>50</v>
      </c>
      <c r="C33" s="4" t="s">
        <v>41</v>
      </c>
    </row>
    <row r="34" customFormat="false" ht="15" hidden="false" customHeight="true" outlineLevel="0" collapsed="false">
      <c r="A34" s="3" t="s">
        <v>42</v>
      </c>
      <c r="B34" s="6" t="n">
        <v>28</v>
      </c>
      <c r="C34" s="4" t="s">
        <v>43</v>
      </c>
    </row>
    <row r="35" customFormat="false" ht="15" hidden="false" customHeight="true" outlineLevel="0" collapsed="false">
      <c r="A35" s="3" t="s">
        <v>44</v>
      </c>
      <c r="B35" s="6" t="n">
        <v>167</v>
      </c>
      <c r="C35" s="4" t="s">
        <v>45</v>
      </c>
    </row>
    <row r="36" customFormat="false" ht="15" hidden="false" customHeight="true" outlineLevel="0" collapsed="false">
      <c r="A36" s="3"/>
      <c r="B36" s="3"/>
      <c r="C36" s="4"/>
    </row>
    <row r="37" customFormat="false" ht="15" hidden="false" customHeight="true" outlineLevel="0" collapsed="false">
      <c r="A37" s="3" t="s">
        <v>46</v>
      </c>
      <c r="B37" s="3"/>
      <c r="C37" s="4"/>
    </row>
    <row r="38" customFormat="false" ht="15" hidden="false" customHeight="true" outlineLevel="0" collapsed="false">
      <c r="A38" s="3" t="s">
        <v>47</v>
      </c>
      <c r="B38" s="6" t="n">
        <v>201</v>
      </c>
      <c r="C38" s="4" t="s">
        <v>48</v>
      </c>
    </row>
    <row r="39" customFormat="false" ht="15" hidden="false" customHeight="true" outlineLevel="0" collapsed="false">
      <c r="A39" s="3" t="s">
        <v>49</v>
      </c>
      <c r="B39" s="6" t="n">
        <v>22</v>
      </c>
      <c r="C39" s="4" t="s">
        <v>50</v>
      </c>
    </row>
    <row r="40" customFormat="false" ht="15" hidden="false" customHeight="true" outlineLevel="0" collapsed="false">
      <c r="A40" s="3" t="s">
        <v>51</v>
      </c>
      <c r="B40" s="6" t="n">
        <v>20</v>
      </c>
      <c r="C40" s="4" t="s">
        <v>52</v>
      </c>
    </row>
    <row r="41" customFormat="false" ht="15" hidden="false" customHeight="true" outlineLevel="0" collapsed="false">
      <c r="A41" s="3" t="s">
        <v>53</v>
      </c>
      <c r="B41" s="6" t="n">
        <v>10</v>
      </c>
      <c r="C41" s="4" t="s">
        <v>54</v>
      </c>
    </row>
    <row r="42" customFormat="false" ht="15" hidden="false" customHeight="true" outlineLevel="0" collapsed="false">
      <c r="A42" s="3"/>
      <c r="B42" s="3"/>
      <c r="C42" s="4"/>
    </row>
    <row r="43" customFormat="false" ht="15" hidden="false" customHeight="true" outlineLevel="0" collapsed="false">
      <c r="A43" s="5" t="s">
        <v>55</v>
      </c>
      <c r="B43" s="3"/>
      <c r="C43" s="4"/>
    </row>
    <row r="44" customFormat="false" ht="15" hidden="false" customHeight="true" outlineLevel="0" collapsed="false">
      <c r="A44" s="3" t="s">
        <v>56</v>
      </c>
      <c r="B44" s="8" t="n">
        <v>0.15</v>
      </c>
      <c r="C44" s="4" t="s">
        <v>57</v>
      </c>
    </row>
    <row r="45" customFormat="false" ht="15" hidden="false" customHeight="true" outlineLevel="0" collapsed="false">
      <c r="A45" s="3" t="s">
        <v>58</v>
      </c>
      <c r="B45" s="6" t="n">
        <v>450</v>
      </c>
      <c r="C45" s="4" t="s">
        <v>59</v>
      </c>
    </row>
    <row r="46" customFormat="false" ht="15" hidden="false" customHeight="true" outlineLevel="0" collapsed="false">
      <c r="A46" s="5" t="s">
        <v>60</v>
      </c>
      <c r="B46" s="8" t="n">
        <v>0.5</v>
      </c>
      <c r="C46" s="4" t="s">
        <v>61</v>
      </c>
    </row>
    <row r="47" customFormat="false" ht="15" hidden="false" customHeight="true" outlineLevel="0" collapsed="false">
      <c r="A47" s="5" t="s">
        <v>62</v>
      </c>
      <c r="B47" s="8" t="n">
        <v>0.5</v>
      </c>
      <c r="C47" s="4" t="s">
        <v>61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4" min="2" style="1" width="12"/>
  </cols>
  <sheetData>
    <row r="1" customFormat="false" ht="17.25" hidden="false" customHeight="true" outlineLevel="0" collapsed="false">
      <c r="A1" s="9" t="s">
        <v>63</v>
      </c>
    </row>
    <row r="3" customFormat="false" ht="15" hidden="false" customHeight="true" outlineLevel="0" collapsed="false">
      <c r="A3" s="10" t="s">
        <v>64</v>
      </c>
      <c r="B3" s="10" t="s">
        <v>65</v>
      </c>
      <c r="C3" s="10" t="s">
        <v>66</v>
      </c>
      <c r="D3" s="10" t="s">
        <v>67</v>
      </c>
      <c r="E3" s="10" t="s">
        <v>68</v>
      </c>
      <c r="F3" s="10" t="s">
        <v>69</v>
      </c>
      <c r="G3" s="10" t="s">
        <v>70</v>
      </c>
      <c r="H3" s="10" t="s">
        <v>71</v>
      </c>
      <c r="I3" s="10" t="s">
        <v>72</v>
      </c>
      <c r="J3" s="10" t="s">
        <v>73</v>
      </c>
      <c r="K3" s="10" t="s">
        <v>74</v>
      </c>
      <c r="L3" s="10" t="s">
        <v>75</v>
      </c>
      <c r="M3" s="10" t="s">
        <v>76</v>
      </c>
      <c r="N3" s="10" t="s">
        <v>77</v>
      </c>
    </row>
    <row r="4" customFormat="false" ht="15" hidden="false" customHeight="true" outlineLevel="0" collapsed="false">
      <c r="A4" s="11" t="s">
        <v>78</v>
      </c>
      <c r="B4" s="12" t="n">
        <v>22</v>
      </c>
      <c r="C4" s="12" t="n">
        <v>22</v>
      </c>
      <c r="D4" s="12" t="n">
        <v>22</v>
      </c>
      <c r="E4" s="12" t="n">
        <v>25</v>
      </c>
      <c r="F4" s="12" t="n">
        <v>28</v>
      </c>
      <c r="G4" s="12" t="n">
        <v>31</v>
      </c>
      <c r="H4" s="12" t="n">
        <v>34</v>
      </c>
      <c r="I4" s="12" t="n">
        <v>37</v>
      </c>
      <c r="J4" s="12" t="n">
        <v>40</v>
      </c>
      <c r="K4" s="12" t="n">
        <v>43</v>
      </c>
      <c r="L4" s="12" t="n">
        <v>47</v>
      </c>
      <c r="M4" s="12" t="n">
        <v>50</v>
      </c>
      <c r="N4" s="13" t="n">
        <v>50</v>
      </c>
    </row>
    <row r="5" customFormat="false" ht="15" hidden="false" customHeight="true" outlineLevel="0" collapsed="false">
      <c r="A5" s="11" t="s">
        <v>79</v>
      </c>
      <c r="B5" s="12" t="n">
        <v>0</v>
      </c>
      <c r="C5" s="12" t="n">
        <v>0</v>
      </c>
      <c r="D5" s="12" t="n">
        <v>0</v>
      </c>
      <c r="E5" s="12" t="n">
        <v>3</v>
      </c>
      <c r="F5" s="12" t="n">
        <v>3</v>
      </c>
      <c r="G5" s="12" t="n">
        <v>3</v>
      </c>
      <c r="H5" s="12" t="n">
        <v>3</v>
      </c>
      <c r="I5" s="12" t="n">
        <v>3</v>
      </c>
      <c r="J5" s="12" t="n">
        <v>3</v>
      </c>
      <c r="K5" s="12" t="n">
        <v>3</v>
      </c>
      <c r="L5" s="12" t="n">
        <v>4</v>
      </c>
      <c r="M5" s="12" t="n">
        <v>3</v>
      </c>
      <c r="N5" s="13" t="n">
        <f aca="false">SUM(B5:M5)</f>
        <v>28</v>
      </c>
    </row>
    <row r="6" customFormat="false" ht="15" hidden="false" customHeight="true" outlineLevel="0" collapsed="false">
      <c r="A6" s="11" t="s">
        <v>80</v>
      </c>
      <c r="B6" s="12" t="n">
        <v>19</v>
      </c>
      <c r="C6" s="12" t="n">
        <v>19</v>
      </c>
      <c r="D6" s="12" t="n">
        <v>20</v>
      </c>
      <c r="E6" s="12" t="n">
        <v>22</v>
      </c>
      <c r="F6" s="12" t="n">
        <v>24</v>
      </c>
      <c r="G6" s="12" t="n">
        <v>27</v>
      </c>
      <c r="H6" s="12" t="n">
        <v>30</v>
      </c>
      <c r="I6" s="12" t="n">
        <v>34</v>
      </c>
      <c r="J6" s="12" t="n">
        <v>36</v>
      </c>
      <c r="K6" s="12" t="n">
        <v>39</v>
      </c>
      <c r="L6" s="12" t="n">
        <v>43</v>
      </c>
      <c r="M6" s="12" t="n">
        <v>47</v>
      </c>
      <c r="N6" s="13" t="n">
        <v>47</v>
      </c>
    </row>
    <row r="7" customFormat="false" ht="15" hidden="false" customHeight="true" outlineLevel="0" collapsed="false">
      <c r="A7" s="11" t="s">
        <v>81</v>
      </c>
      <c r="B7" s="14" t="n">
        <v>0.864</v>
      </c>
      <c r="C7" s="14" t="n">
        <v>0.864</v>
      </c>
      <c r="D7" s="14" t="n">
        <v>0.91</v>
      </c>
      <c r="E7" s="14" t="n">
        <v>0.88</v>
      </c>
      <c r="F7" s="14" t="n">
        <v>0.89</v>
      </c>
      <c r="G7" s="14" t="n">
        <v>0.9</v>
      </c>
      <c r="H7" s="14" t="n">
        <v>0.91</v>
      </c>
      <c r="I7" s="14" t="n">
        <v>0.92</v>
      </c>
      <c r="J7" s="14" t="n">
        <v>0.92</v>
      </c>
      <c r="K7" s="14" t="n">
        <v>0.93</v>
      </c>
      <c r="L7" s="14" t="n">
        <v>0.93</v>
      </c>
      <c r="M7" s="14" t="n">
        <v>0.94</v>
      </c>
      <c r="N7" s="14" t="n">
        <f aca="false">AVERAGE(B7:M7)</f>
        <v>0.904833333333333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4" min="2" style="1" width="13"/>
  </cols>
  <sheetData>
    <row r="1" customFormat="false" ht="17.25" hidden="false" customHeight="true" outlineLevel="0" collapsed="false">
      <c r="A1" s="9" t="s">
        <v>82</v>
      </c>
    </row>
    <row r="3" customFormat="false" ht="15" hidden="false" customHeight="true" outlineLevel="0" collapsed="false">
      <c r="A3" s="10" t="s">
        <v>64</v>
      </c>
      <c r="B3" s="10" t="s">
        <v>65</v>
      </c>
      <c r="C3" s="10" t="s">
        <v>66</v>
      </c>
      <c r="D3" s="10" t="s">
        <v>67</v>
      </c>
      <c r="E3" s="10" t="s">
        <v>68</v>
      </c>
      <c r="F3" s="10" t="s">
        <v>69</v>
      </c>
      <c r="G3" s="10" t="s">
        <v>70</v>
      </c>
      <c r="H3" s="10" t="s">
        <v>71</v>
      </c>
      <c r="I3" s="10" t="s">
        <v>72</v>
      </c>
      <c r="J3" s="10" t="s">
        <v>73</v>
      </c>
      <c r="K3" s="10" t="s">
        <v>74</v>
      </c>
      <c r="L3" s="10" t="s">
        <v>75</v>
      </c>
      <c r="M3" s="10" t="s">
        <v>76</v>
      </c>
      <c r="N3" s="10" t="s">
        <v>77</v>
      </c>
    </row>
    <row r="4" customFormat="false" ht="15" hidden="false" customHeight="true" outlineLevel="0" collapsed="false">
      <c r="A4" s="11" t="s">
        <v>80</v>
      </c>
      <c r="B4" s="13" t="n">
        <v>19</v>
      </c>
      <c r="C4" s="13" t="n">
        <v>19</v>
      </c>
      <c r="D4" s="13" t="n">
        <v>20</v>
      </c>
      <c r="E4" s="13" t="n">
        <v>22</v>
      </c>
      <c r="F4" s="13" t="n">
        <v>24</v>
      </c>
      <c r="G4" s="13" t="n">
        <v>27</v>
      </c>
      <c r="H4" s="13" t="n">
        <v>30</v>
      </c>
      <c r="I4" s="13" t="n">
        <v>34</v>
      </c>
      <c r="J4" s="13" t="n">
        <v>36</v>
      </c>
      <c r="K4" s="13" t="n">
        <v>39</v>
      </c>
      <c r="L4" s="13" t="n">
        <v>43</v>
      </c>
      <c r="M4" s="13" t="n">
        <v>47</v>
      </c>
      <c r="N4" s="11"/>
    </row>
    <row r="5" customFormat="false" ht="15" hidden="false" customHeight="true" outlineLevel="0" collapsed="false">
      <c r="A5" s="11" t="s">
        <v>83</v>
      </c>
      <c r="B5" s="13" t="n">
        <v>403</v>
      </c>
      <c r="C5" s="13" t="n">
        <v>603</v>
      </c>
      <c r="D5" s="13" t="n">
        <v>623</v>
      </c>
      <c r="E5" s="13" t="n">
        <v>550</v>
      </c>
      <c r="F5" s="13" t="n">
        <v>560</v>
      </c>
      <c r="G5" s="13" t="n">
        <v>580</v>
      </c>
      <c r="H5" s="13" t="n">
        <v>600</v>
      </c>
      <c r="I5" s="13" t="n">
        <v>620</v>
      </c>
      <c r="J5" s="13" t="n">
        <v>640</v>
      </c>
      <c r="K5" s="13" t="n">
        <v>660</v>
      </c>
      <c r="L5" s="13" t="n">
        <v>680</v>
      </c>
      <c r="M5" s="13" t="n">
        <v>700</v>
      </c>
      <c r="N5" s="11"/>
    </row>
    <row r="6" customFormat="false" ht="15" hidden="false" customHeight="true" outlineLevel="0" collapsed="false">
      <c r="A6" s="11" t="s">
        <v>84</v>
      </c>
      <c r="B6" s="15" t="s">
        <v>85</v>
      </c>
      <c r="C6" s="15" t="s">
        <v>85</v>
      </c>
      <c r="D6" s="13" t="s">
        <v>86</v>
      </c>
      <c r="E6" s="13" t="s">
        <v>87</v>
      </c>
      <c r="F6" s="13" t="s">
        <v>87</v>
      </c>
      <c r="G6" s="13" t="s">
        <v>87</v>
      </c>
      <c r="H6" s="13" t="s">
        <v>87</v>
      </c>
      <c r="I6" s="13" t="s">
        <v>87</v>
      </c>
      <c r="J6" s="13" t="s">
        <v>87</v>
      </c>
      <c r="K6" s="13" t="s">
        <v>87</v>
      </c>
      <c r="L6" s="13" t="s">
        <v>87</v>
      </c>
      <c r="M6" s="13" t="s">
        <v>87</v>
      </c>
      <c r="N6" s="11"/>
    </row>
    <row r="7" customFormat="false" ht="1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15" hidden="false" customHeight="true" outlineLevel="0" collapsed="false">
      <c r="A8" s="11" t="s">
        <v>88</v>
      </c>
      <c r="B8" s="15" t="n">
        <v>4432</v>
      </c>
      <c r="C8" s="15" t="n">
        <v>11455</v>
      </c>
      <c r="D8" s="15" t="n">
        <v>11836</v>
      </c>
      <c r="E8" s="13" t="n">
        <v>12100</v>
      </c>
      <c r="F8" s="13" t="n">
        <v>13440</v>
      </c>
      <c r="G8" s="13" t="n">
        <v>15660</v>
      </c>
      <c r="H8" s="13" t="n">
        <v>18000</v>
      </c>
      <c r="I8" s="13" t="n">
        <v>21080</v>
      </c>
      <c r="J8" s="13" t="n">
        <v>23040</v>
      </c>
      <c r="K8" s="13" t="n">
        <v>25740</v>
      </c>
      <c r="L8" s="13" t="n">
        <v>29240</v>
      </c>
      <c r="M8" s="13" t="n">
        <v>32900</v>
      </c>
      <c r="N8" s="11" t="n">
        <f aca="false">SUM(B8:M8)</f>
        <v>218923</v>
      </c>
    </row>
    <row r="9" customFormat="false" ht="15" hidden="false" customHeight="true" outlineLevel="0" collapsed="false">
      <c r="A9" s="11" t="s">
        <v>89</v>
      </c>
      <c r="B9" s="13" t="n">
        <v>-665</v>
      </c>
      <c r="C9" s="13" t="n">
        <v>-1718</v>
      </c>
      <c r="D9" s="13" t="n">
        <v>-1775</v>
      </c>
      <c r="E9" s="13" t="n">
        <v>-1815</v>
      </c>
      <c r="F9" s="13" t="n">
        <v>-2016</v>
      </c>
      <c r="G9" s="13" t="n">
        <v>-2349</v>
      </c>
      <c r="H9" s="13" t="n">
        <v>-2700</v>
      </c>
      <c r="I9" s="13" t="n">
        <v>-3162</v>
      </c>
      <c r="J9" s="13" t="n">
        <v>-3456</v>
      </c>
      <c r="K9" s="13" t="n">
        <v>-3861</v>
      </c>
      <c r="L9" s="13" t="n">
        <v>-4386</v>
      </c>
      <c r="M9" s="13" t="n">
        <v>-4935</v>
      </c>
      <c r="N9" s="11" t="n">
        <f aca="false">SUM(B9:M9)</f>
        <v>-32838</v>
      </c>
    </row>
    <row r="10" customFormat="false" ht="15" hidden="false" customHeight="true" outlineLevel="0" collapsed="false">
      <c r="A10" s="11" t="s">
        <v>90</v>
      </c>
      <c r="B10" s="13" t="n">
        <v>3767</v>
      </c>
      <c r="C10" s="13" t="n">
        <v>9737</v>
      </c>
      <c r="D10" s="13" t="n">
        <v>10061</v>
      </c>
      <c r="E10" s="13" t="n">
        <v>10285</v>
      </c>
      <c r="F10" s="13" t="n">
        <v>11424</v>
      </c>
      <c r="G10" s="13" t="n">
        <v>13311</v>
      </c>
      <c r="H10" s="13" t="n">
        <v>15300</v>
      </c>
      <c r="I10" s="13" t="n">
        <v>17918</v>
      </c>
      <c r="J10" s="13" t="n">
        <v>19584</v>
      </c>
      <c r="K10" s="13" t="n">
        <v>21879</v>
      </c>
      <c r="L10" s="13" t="n">
        <v>24854</v>
      </c>
      <c r="M10" s="13" t="n">
        <v>27965</v>
      </c>
      <c r="N10" s="11" t="n">
        <f aca="false">SUM(B10:M10)</f>
        <v>186085</v>
      </c>
    </row>
    <row r="11" customFormat="false" ht="15" hidden="false" customHeight="true" outlineLevel="0" collapsed="false">
      <c r="A11" s="11" t="s">
        <v>91</v>
      </c>
      <c r="B11" s="13" t="n">
        <v>1397</v>
      </c>
      <c r="C11" s="13" t="n">
        <v>3400</v>
      </c>
      <c r="D11" s="13" t="n">
        <v>2663</v>
      </c>
      <c r="E11" s="13" t="n">
        <v>3388</v>
      </c>
      <c r="F11" s="13" t="n">
        <v>3763</v>
      </c>
      <c r="G11" s="13" t="n">
        <v>4385</v>
      </c>
      <c r="H11" s="13" t="n">
        <v>5040</v>
      </c>
      <c r="I11" s="13" t="n">
        <v>5902</v>
      </c>
      <c r="J11" s="13" t="n">
        <v>6451</v>
      </c>
      <c r="K11" s="13" t="n">
        <v>7207</v>
      </c>
      <c r="L11" s="13" t="n">
        <v>8187</v>
      </c>
      <c r="M11" s="13" t="n">
        <v>9212</v>
      </c>
      <c r="N11" s="11" t="n">
        <f aca="false">SUM(B11:M11)</f>
        <v>60995</v>
      </c>
    </row>
    <row r="12" customFormat="false" ht="15" hidden="false" customHeight="true" outlineLevel="0" collapsed="false">
      <c r="A12" s="16" t="s">
        <v>92</v>
      </c>
      <c r="B12" s="17" t="n">
        <v>3053</v>
      </c>
      <c r="C12" s="17" t="n">
        <v>6332</v>
      </c>
      <c r="D12" s="17" t="n">
        <v>6679</v>
      </c>
      <c r="E12" s="17" t="n">
        <v>6691</v>
      </c>
      <c r="F12" s="17" t="n">
        <v>7432</v>
      </c>
      <c r="G12" s="17" t="n">
        <v>8660</v>
      </c>
      <c r="H12" s="17" t="n">
        <v>9954</v>
      </c>
      <c r="I12" s="17" t="n">
        <v>11657</v>
      </c>
      <c r="J12" s="17" t="n">
        <v>12741</v>
      </c>
      <c r="K12" s="17" t="n">
        <v>14234</v>
      </c>
      <c r="L12" s="17" t="n">
        <v>16170</v>
      </c>
      <c r="M12" s="17" t="n">
        <v>18194</v>
      </c>
      <c r="N12" s="16" t="n">
        <f aca="false">SUM(B12:M12)</f>
        <v>121797</v>
      </c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customFormat="false" ht="15" hidden="false" customHeight="true" outlineLevel="0" collapsed="false">
      <c r="A14" s="11" t="s">
        <v>93</v>
      </c>
      <c r="B14" s="13" t="n">
        <v>161</v>
      </c>
      <c r="C14" s="13" t="n">
        <v>333</v>
      </c>
      <c r="D14" s="13" t="n">
        <v>334</v>
      </c>
      <c r="E14" s="13" t="n">
        <v>304</v>
      </c>
      <c r="F14" s="13" t="n">
        <v>310</v>
      </c>
      <c r="G14" s="13" t="n">
        <v>321</v>
      </c>
      <c r="H14" s="13" t="n">
        <v>332</v>
      </c>
      <c r="I14" s="13" t="n">
        <v>343</v>
      </c>
      <c r="J14" s="13" t="n">
        <v>354</v>
      </c>
      <c r="K14" s="13" t="n">
        <v>365</v>
      </c>
      <c r="L14" s="13" t="n">
        <v>376</v>
      </c>
      <c r="M14" s="13" t="n">
        <v>387</v>
      </c>
      <c r="N1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4" min="2" style="1" width="13"/>
  </cols>
  <sheetData>
    <row r="1" customFormat="false" ht="17.25" hidden="false" customHeight="true" outlineLevel="0" collapsed="false">
      <c r="A1" s="9" t="s">
        <v>94</v>
      </c>
    </row>
    <row r="3" customFormat="false" ht="15" hidden="false" customHeight="true" outlineLevel="0" collapsed="false">
      <c r="A3" s="10" t="s">
        <v>64</v>
      </c>
      <c r="B3" s="10" t="s">
        <v>65</v>
      </c>
      <c r="C3" s="10" t="s">
        <v>66</v>
      </c>
      <c r="D3" s="10" t="s">
        <v>67</v>
      </c>
      <c r="E3" s="10" t="s">
        <v>68</v>
      </c>
      <c r="F3" s="10" t="s">
        <v>69</v>
      </c>
      <c r="G3" s="10" t="s">
        <v>70</v>
      </c>
      <c r="H3" s="10" t="s">
        <v>71</v>
      </c>
      <c r="I3" s="10" t="s">
        <v>72</v>
      </c>
      <c r="J3" s="10" t="s">
        <v>73</v>
      </c>
      <c r="K3" s="10" t="s">
        <v>74</v>
      </c>
      <c r="L3" s="10" t="s">
        <v>75</v>
      </c>
      <c r="M3" s="10" t="s">
        <v>76</v>
      </c>
      <c r="N3" s="10" t="s">
        <v>77</v>
      </c>
    </row>
    <row r="4" customFormat="false" ht="15" hidden="false" customHeight="true" outlineLevel="0" collapsed="false">
      <c r="A4" s="11" t="s">
        <v>80</v>
      </c>
      <c r="B4" s="13" t="n">
        <v>19</v>
      </c>
      <c r="C4" s="13" t="n">
        <v>19</v>
      </c>
      <c r="D4" s="13" t="n">
        <v>20</v>
      </c>
      <c r="E4" s="13" t="n">
        <v>22</v>
      </c>
      <c r="F4" s="13" t="n">
        <v>24</v>
      </c>
      <c r="G4" s="13" t="n">
        <v>27</v>
      </c>
      <c r="H4" s="13" t="n">
        <v>30</v>
      </c>
      <c r="I4" s="13" t="n">
        <v>34</v>
      </c>
      <c r="J4" s="13" t="n">
        <v>36</v>
      </c>
      <c r="K4" s="13" t="n">
        <v>39</v>
      </c>
      <c r="L4" s="13" t="n">
        <v>43</v>
      </c>
      <c r="M4" s="13" t="n">
        <v>47</v>
      </c>
      <c r="N4" s="11"/>
    </row>
    <row r="5" customFormat="false" ht="15" hidden="false" customHeight="true" outlineLevel="0" collapsed="false">
      <c r="A5" s="11" t="s">
        <v>95</v>
      </c>
      <c r="B5" s="13" t="n">
        <v>450</v>
      </c>
      <c r="C5" s="13" t="n">
        <v>450</v>
      </c>
      <c r="D5" s="13" t="n">
        <v>450</v>
      </c>
      <c r="E5" s="13" t="n">
        <v>450</v>
      </c>
      <c r="F5" s="13" t="n">
        <v>450</v>
      </c>
      <c r="G5" s="13" t="n">
        <v>450</v>
      </c>
      <c r="H5" s="13" t="n">
        <v>450</v>
      </c>
      <c r="I5" s="13" t="n">
        <v>450</v>
      </c>
      <c r="J5" s="13" t="n">
        <v>450</v>
      </c>
      <c r="K5" s="13" t="n">
        <v>450</v>
      </c>
      <c r="L5" s="13" t="n">
        <v>450</v>
      </c>
      <c r="M5" s="13" t="n">
        <v>450</v>
      </c>
      <c r="N5" s="11"/>
    </row>
    <row r="6" customFormat="false" ht="1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true" outlineLevel="0" collapsed="false">
      <c r="A7" s="16" t="s">
        <v>96</v>
      </c>
      <c r="B7" s="17" t="n">
        <v>8550</v>
      </c>
      <c r="C7" s="17" t="n">
        <v>8550</v>
      </c>
      <c r="D7" s="17" t="n">
        <v>9000</v>
      </c>
      <c r="E7" s="17" t="n">
        <v>9900</v>
      </c>
      <c r="F7" s="17" t="n">
        <v>10800</v>
      </c>
      <c r="G7" s="17" t="n">
        <v>12150</v>
      </c>
      <c r="H7" s="17" t="n">
        <v>13500</v>
      </c>
      <c r="I7" s="17" t="n">
        <v>15300</v>
      </c>
      <c r="J7" s="17" t="n">
        <v>16200</v>
      </c>
      <c r="K7" s="17" t="n">
        <v>17550</v>
      </c>
      <c r="L7" s="17" t="n">
        <v>19350</v>
      </c>
      <c r="M7" s="17" t="n">
        <v>21150</v>
      </c>
      <c r="N7" s="16" t="n">
        <f aca="false">SUM(B7:M7)</f>
        <v>162000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4" min="2" style="1" width="13"/>
  </cols>
  <sheetData>
    <row r="1" customFormat="false" ht="17.25" hidden="false" customHeight="true" outlineLevel="0" collapsed="false">
      <c r="A1" s="9" t="s">
        <v>97</v>
      </c>
    </row>
    <row r="2" customFormat="false" ht="15" hidden="false" customHeight="true" outlineLevel="0" collapsed="false">
      <c r="A2" s="18" t="s">
        <v>98</v>
      </c>
    </row>
    <row r="3" customFormat="false" ht="15" hidden="false" customHeight="true" outlineLevel="0" collapsed="false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customFormat="false" ht="15" hidden="false" customHeight="true" outlineLevel="0" collapsed="false">
      <c r="A4" s="10" t="s">
        <v>64</v>
      </c>
      <c r="B4" s="10" t="s">
        <v>65</v>
      </c>
      <c r="C4" s="10" t="s">
        <v>66</v>
      </c>
      <c r="D4" s="10" t="s">
        <v>67</v>
      </c>
      <c r="E4" s="10" t="s">
        <v>68</v>
      </c>
      <c r="F4" s="10" t="s">
        <v>69</v>
      </c>
      <c r="G4" s="10" t="s">
        <v>70</v>
      </c>
      <c r="H4" s="10" t="s">
        <v>71</v>
      </c>
      <c r="I4" s="10" t="s">
        <v>72</v>
      </c>
      <c r="J4" s="10" t="s">
        <v>73</v>
      </c>
      <c r="K4" s="10" t="s">
        <v>74</v>
      </c>
      <c r="L4" s="10" t="s">
        <v>75</v>
      </c>
      <c r="M4" s="10" t="s">
        <v>76</v>
      </c>
      <c r="N4" s="10" t="s">
        <v>77</v>
      </c>
    </row>
    <row r="5" customFormat="false" ht="15" hidden="false" customHeight="true" outlineLevel="0" collapsed="false">
      <c r="A5" s="11" t="s">
        <v>80</v>
      </c>
      <c r="B5" s="13" t="n">
        <v>19</v>
      </c>
      <c r="C5" s="13" t="n">
        <v>19</v>
      </c>
      <c r="D5" s="13" t="n">
        <v>20</v>
      </c>
      <c r="E5" s="13" t="n">
        <v>22</v>
      </c>
      <c r="F5" s="13" t="n">
        <v>24</v>
      </c>
      <c r="G5" s="13" t="n">
        <v>27</v>
      </c>
      <c r="H5" s="13" t="n">
        <v>30</v>
      </c>
      <c r="I5" s="13" t="n">
        <v>34</v>
      </c>
      <c r="J5" s="13" t="n">
        <v>36</v>
      </c>
      <c r="K5" s="13" t="n">
        <v>39</v>
      </c>
      <c r="L5" s="13" t="n">
        <v>43</v>
      </c>
      <c r="M5" s="13" t="n">
        <v>47</v>
      </c>
      <c r="N5" s="11"/>
    </row>
    <row r="6" customFormat="false" ht="1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true" outlineLevel="0" collapsed="false">
      <c r="A7" s="16" t="s">
        <v>99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customFormat="false" ht="15" hidden="false" customHeight="true" outlineLevel="0" collapsed="false">
      <c r="A8" s="11" t="s">
        <v>100</v>
      </c>
      <c r="B8" s="13" t="n">
        <v>8550</v>
      </c>
      <c r="C8" s="13" t="n">
        <v>8550</v>
      </c>
      <c r="D8" s="13" t="n">
        <v>9000</v>
      </c>
      <c r="E8" s="13" t="n">
        <v>9900</v>
      </c>
      <c r="F8" s="13" t="n">
        <v>10800</v>
      </c>
      <c r="G8" s="13" t="n">
        <v>12150</v>
      </c>
      <c r="H8" s="13" t="n">
        <v>13500</v>
      </c>
      <c r="I8" s="13" t="n">
        <v>15300</v>
      </c>
      <c r="J8" s="13" t="n">
        <v>16200</v>
      </c>
      <c r="K8" s="13" t="n">
        <v>17550</v>
      </c>
      <c r="L8" s="13" t="n">
        <v>19350</v>
      </c>
      <c r="M8" s="13" t="n">
        <v>21150</v>
      </c>
      <c r="N8" s="11" t="n">
        <f aca="false">SUM(B8:M8)</f>
        <v>162000</v>
      </c>
    </row>
    <row r="9" customFormat="false" ht="15" hidden="false" customHeight="true" outlineLevel="0" collapsed="false">
      <c r="A9" s="11" t="s">
        <v>101</v>
      </c>
      <c r="B9" s="13" t="n">
        <v>3053</v>
      </c>
      <c r="C9" s="13" t="n">
        <v>6332</v>
      </c>
      <c r="D9" s="13" t="n">
        <v>6679</v>
      </c>
      <c r="E9" s="13" t="n">
        <v>6691</v>
      </c>
      <c r="F9" s="13" t="n">
        <v>7432</v>
      </c>
      <c r="G9" s="13" t="n">
        <v>8660</v>
      </c>
      <c r="H9" s="13" t="n">
        <v>9954</v>
      </c>
      <c r="I9" s="13" t="n">
        <v>11657</v>
      </c>
      <c r="J9" s="13" t="n">
        <v>12741</v>
      </c>
      <c r="K9" s="13" t="n">
        <v>14234</v>
      </c>
      <c r="L9" s="13" t="n">
        <v>16170</v>
      </c>
      <c r="M9" s="13" t="n">
        <v>18194</v>
      </c>
      <c r="N9" s="11" t="n">
        <f aca="false">SUM(B9:M9)</f>
        <v>121797</v>
      </c>
    </row>
    <row r="10" customFormat="false" ht="15" hidden="false" customHeight="true" outlineLevel="0" collapsed="false">
      <c r="A10" s="20" t="s">
        <v>102</v>
      </c>
      <c r="B10" s="21" t="n">
        <f aca="false">B8+B9</f>
        <v>11603</v>
      </c>
      <c r="C10" s="21" t="n">
        <f aca="false">C8+C9</f>
        <v>14882</v>
      </c>
      <c r="D10" s="21" t="n">
        <f aca="false">D8+D9</f>
        <v>15679</v>
      </c>
      <c r="E10" s="21" t="n">
        <f aca="false">E8+E9</f>
        <v>16591</v>
      </c>
      <c r="F10" s="21" t="n">
        <f aca="false">F8+F9</f>
        <v>18232</v>
      </c>
      <c r="G10" s="21" t="n">
        <f aca="false">G8+G9</f>
        <v>20810</v>
      </c>
      <c r="H10" s="21" t="n">
        <f aca="false">H8+H9</f>
        <v>23454</v>
      </c>
      <c r="I10" s="21" t="n">
        <f aca="false">I8+I9</f>
        <v>26957</v>
      </c>
      <c r="J10" s="21" t="n">
        <f aca="false">J8+J9</f>
        <v>28941</v>
      </c>
      <c r="K10" s="21" t="n">
        <f aca="false">K8+K9</f>
        <v>31784</v>
      </c>
      <c r="L10" s="21" t="n">
        <f aca="false">L8+L9</f>
        <v>35520</v>
      </c>
      <c r="M10" s="21" t="n">
        <f aca="false">M8+M9</f>
        <v>39344</v>
      </c>
      <c r="N10" s="21" t="n">
        <f aca="false">N8+N9</f>
        <v>283797</v>
      </c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customFormat="false" ht="15" hidden="false" customHeight="true" outlineLevel="0" collapsed="false">
      <c r="A12" s="16" t="s">
        <v>103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customFormat="false" ht="15" hidden="false" customHeight="true" outlineLevel="0" collapsed="false">
      <c r="A13" s="11" t="s">
        <v>104</v>
      </c>
      <c r="B13" s="13" t="n">
        <v>14943</v>
      </c>
      <c r="C13" s="13" t="n">
        <v>14943</v>
      </c>
      <c r="D13" s="13" t="n">
        <v>15729</v>
      </c>
      <c r="E13" s="13" t="n">
        <v>17302</v>
      </c>
      <c r="F13" s="13" t="n">
        <v>18875</v>
      </c>
      <c r="G13" s="13" t="n">
        <v>21234</v>
      </c>
      <c r="H13" s="13" t="n">
        <v>23594</v>
      </c>
      <c r="I13" s="13" t="n">
        <v>26740</v>
      </c>
      <c r="J13" s="13" t="n">
        <v>28313</v>
      </c>
      <c r="K13" s="13" t="n">
        <v>30672</v>
      </c>
      <c r="L13" s="13" t="n">
        <v>33818</v>
      </c>
      <c r="M13" s="13" t="n">
        <v>36964</v>
      </c>
      <c r="N13" s="11" t="n">
        <f aca="false">SUM(B13:M13)</f>
        <v>283127</v>
      </c>
    </row>
    <row r="14" customFormat="false" ht="15" hidden="false" customHeight="true" outlineLevel="0" collapsed="false">
      <c r="A14" s="11" t="s">
        <v>105</v>
      </c>
      <c r="B14" s="13" t="n">
        <v>0</v>
      </c>
      <c r="C14" s="13" t="n">
        <v>0</v>
      </c>
      <c r="D14" s="13" t="n">
        <v>0</v>
      </c>
      <c r="E14" s="13" t="n">
        <v>12609</v>
      </c>
      <c r="F14" s="13" t="n">
        <v>12609</v>
      </c>
      <c r="G14" s="13" t="n">
        <v>12609</v>
      </c>
      <c r="H14" s="13" t="n">
        <v>12609</v>
      </c>
      <c r="I14" s="13" t="n">
        <v>12609</v>
      </c>
      <c r="J14" s="13" t="n">
        <v>12609</v>
      </c>
      <c r="K14" s="13" t="n">
        <v>12609</v>
      </c>
      <c r="L14" s="13" t="n">
        <v>16812</v>
      </c>
      <c r="M14" s="13" t="n">
        <v>12609</v>
      </c>
      <c r="N14" s="11" t="n">
        <f aca="false">SUM(B14:M14)</f>
        <v>117684</v>
      </c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customFormat="false" ht="15" hidden="false" customHeight="true" outlineLevel="0" collapsed="false">
      <c r="A16" s="22" t="s">
        <v>106</v>
      </c>
      <c r="B16" s="23" t="n">
        <f aca="false">B10-B13</f>
        <v>-3340</v>
      </c>
      <c r="C16" s="23" t="n">
        <f aca="false">C10-C13</f>
        <v>-61</v>
      </c>
      <c r="D16" s="23" t="n">
        <f aca="false">D10-D13</f>
        <v>-50</v>
      </c>
      <c r="E16" s="23" t="n">
        <f aca="false">E10-E13</f>
        <v>-711</v>
      </c>
      <c r="F16" s="23" t="n">
        <f aca="false">F10-F13</f>
        <v>-643</v>
      </c>
      <c r="G16" s="23" t="n">
        <f aca="false">G10-G13</f>
        <v>-424</v>
      </c>
      <c r="H16" s="23" t="n">
        <f aca="false">H10-H13</f>
        <v>-140</v>
      </c>
      <c r="I16" s="23" t="n">
        <f aca="false">I10-I13</f>
        <v>217</v>
      </c>
      <c r="J16" s="23" t="n">
        <f aca="false">J10-J13</f>
        <v>628</v>
      </c>
      <c r="K16" s="23" t="n">
        <f aca="false">K10-K13</f>
        <v>1112</v>
      </c>
      <c r="L16" s="23" t="n">
        <f aca="false">L10-L13</f>
        <v>1702</v>
      </c>
      <c r="M16" s="23" t="n">
        <f aca="false">M10-M13</f>
        <v>2380</v>
      </c>
      <c r="N16" s="23" t="n">
        <f aca="false">N10-N13</f>
        <v>670</v>
      </c>
    </row>
    <row r="17" customFormat="false" ht="15" hidden="false" customHeight="true" outlineLevel="0" collapsed="false">
      <c r="A17" s="11" t="s">
        <v>107</v>
      </c>
      <c r="B17" s="13" t="n">
        <v>-176</v>
      </c>
      <c r="C17" s="13" t="n">
        <v>-3</v>
      </c>
      <c r="D17" s="13" t="n">
        <v>-2</v>
      </c>
      <c r="E17" s="13" t="n">
        <v>-32</v>
      </c>
      <c r="F17" s="13" t="n">
        <v>-27</v>
      </c>
      <c r="G17" s="13" t="n">
        <v>-16</v>
      </c>
      <c r="H17" s="13" t="n">
        <v>-5</v>
      </c>
      <c r="I17" s="13" t="n">
        <v>6</v>
      </c>
      <c r="J17" s="13" t="n">
        <v>17</v>
      </c>
      <c r="K17" s="13" t="n">
        <v>29</v>
      </c>
      <c r="L17" s="13" t="n">
        <v>40</v>
      </c>
      <c r="M17" s="13" t="n">
        <v>51</v>
      </c>
      <c r="N17" s="11"/>
    </row>
    <row r="18" customFormat="false" ht="15" hidden="false" customHeight="true" outlineLevel="0" collapsed="false">
      <c r="A18" s="11" t="s">
        <v>108</v>
      </c>
      <c r="B18" s="14" t="n">
        <v>-0.288</v>
      </c>
      <c r="C18" s="14" t="n">
        <v>-0.004</v>
      </c>
      <c r="D18" s="14" t="n">
        <v>-0.003</v>
      </c>
      <c r="E18" s="14" t="n">
        <v>-0.043</v>
      </c>
      <c r="F18" s="14" t="n">
        <v>-0.035</v>
      </c>
      <c r="G18" s="14" t="n">
        <v>-0.02</v>
      </c>
      <c r="H18" s="14" t="n">
        <v>-0.006</v>
      </c>
      <c r="I18" s="14" t="n">
        <v>0.008</v>
      </c>
      <c r="J18" s="14" t="n">
        <v>0.022</v>
      </c>
      <c r="K18" s="14" t="n">
        <v>0.035</v>
      </c>
      <c r="L18" s="14" t="n">
        <v>0.048</v>
      </c>
      <c r="M18" s="14" t="n">
        <v>0.06</v>
      </c>
      <c r="N1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2026-05-24T10:47:13Z</dcterms:created>
  <dc:creator>openpyxl</dc:creator>
  <dc:description/>
  <dc:language>en-US</dc:language>
  <cp:lastModifiedBy/>
  <dcterms:modified xsi:type="dcterms:W3CDTF">2026-05-24T10:47:39Z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